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Scénarios" sheetId="2" state="visible" r:id="rId2"/>
    <sheet name="Grille SAV" sheetId="3" state="visible" r:id="rId3"/>
    <sheet name="Effectif" sheetId="4" state="visible" r:id="rId4"/>
    <sheet name="Demande 41" sheetId="5" state="visible" r:id="rId5"/>
    <sheet name="Moteur dispo" sheetId="6" state="visible" r:id="rId6"/>
    <sheet name="Dista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color rgb="001F3864"/>
      <sz val="8"/>
    </font>
    <font>
      <name val="Arial"/>
      <sz val="8"/>
    </font>
    <font>
      <name val="Arial"/>
      <b val="1"/>
      <color rgb="00843C0C"/>
      <sz val="8"/>
    </font>
    <font>
      <name val="Arial"/>
      <i val="1"/>
      <color rgb="00843C0C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BE5D6"/>
      </patternFill>
    </fill>
    <fill>
      <patternFill patternType="solid">
        <fgColor rgb="00D9E2F3"/>
      </patternFill>
    </fill>
    <fill>
      <patternFill patternType="solid">
        <fgColor rgb="00FCE4E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9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 vertical="center" wrapText="1"/>
    </xf>
    <xf numFmtId="2" fontId="6" fillId="3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7" fillId="4" borderId="1" pivotButton="0" quotePrefix="0" xfId="0"/>
    <xf numFmtId="164" fontId="7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7" fillId="5" borderId="1" pivotButton="0" quotePrefix="0" xfId="0"/>
    <xf numFmtId="164" fontId="7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8" fillId="2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" fontId="5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164" fontId="8" fillId="2" borderId="1" applyAlignment="1" pivotButton="0" quotePrefix="0" xfId="0">
      <alignment horizontal="center" vertical="center" wrapText="1"/>
    </xf>
    <xf numFmtId="2" fontId="8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bottom" textRotation="60" wrapText="1"/>
    </xf>
    <xf numFmtId="0" fontId="7" fillId="9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62" customWidth="1" min="4" max="4"/>
  </cols>
  <sheetData>
    <row r="1">
      <c r="A1" s="1" t="inlineStr">
        <is>
          <t>REDIMENSIONNEMENT — DÉPARTEMENT 41 (LOIR-ET-CHER)</t>
        </is>
      </c>
    </row>
    <row r="2">
      <c r="A2" s="2" t="inlineStr">
        <is>
          <t>Objectif : SAV joignable à J+1/J+2 sur les 12 secteurs · PROD planifiée à J+5/J+6/J+7 · volumes majorés de 10 %</t>
        </is>
      </c>
    </row>
    <row r="3">
      <c r="A3" s="2" t="inlineStr">
        <is>
          <t>Source volumes : suivi_volumes_PROD_72.xlsx (MAJ 28/07/2026), onglets « Suivi des volumes PROD » et « Volume par NRO » — 12 secteurs GRDV, 59 NRO.</t>
        </is>
      </c>
    </row>
    <row r="4">
      <c r="A4" s="2" t="inlineStr">
        <is>
          <t>Cadence PROD retro-calculée depuis le fichier source : Nbr tech nécessaire = ARRONDI.SUP(Moy/Jr mars / 4) — règle vérifiée sur 256 des 263 lignes du fichier (97 %).</t>
        </is>
      </c>
    </row>
    <row r="6">
      <c r="A6" s="3" t="inlineStr">
        <is>
          <t>1 · PARAMÈTRES DE DIMENSIONNEMENT</t>
        </is>
      </c>
    </row>
    <row r="7">
      <c r="A7" s="4" t="inlineStr">
        <is>
          <t>Paramètre</t>
        </is>
      </c>
      <c r="B7" s="4" t="inlineStr">
        <is>
          <t>Valeur</t>
        </is>
      </c>
      <c r="C7" s="4" t="inlineStr">
        <is>
          <t>Unité</t>
        </is>
      </c>
      <c r="D7" s="4" t="inlineStr">
        <is>
          <t>Origine / commentaire</t>
        </is>
      </c>
    </row>
    <row r="8">
      <c r="A8" s="5" t="inlineStr">
        <is>
          <t>Marge de flexibilité appliquée aux volumes</t>
        </is>
      </c>
      <c r="B8" s="6" t="n">
        <v>0.1</v>
      </c>
      <c r="C8" s="7" t="inlineStr">
        <is>
          <t>%</t>
        </is>
      </c>
      <c r="D8" s="8" t="inlineStr">
        <is>
          <t>Demande client : +10 % sur l'estimation de volumes</t>
        </is>
      </c>
    </row>
    <row r="9">
      <c r="A9" s="5" t="inlineStr">
        <is>
          <t>Cadence PROD (moyenne département)</t>
        </is>
      </c>
      <c r="B9" s="9" t="n">
        <v>4</v>
      </c>
      <c r="C9" s="7" t="inlineStr">
        <is>
          <t>inter./tech./jour</t>
        </is>
      </c>
      <c r="D9" s="8" t="inlineStr">
        <is>
          <t>Rétro-calculée sur le fichier source (97 % de concordance)</t>
        </is>
      </c>
    </row>
    <row r="10">
      <c r="A10" s="5" t="inlineStr">
        <is>
          <t>Cadence PROD en demi-journée locale</t>
        </is>
      </c>
      <c r="B10" s="9" t="n">
        <v>5</v>
      </c>
      <c r="C10" s="7" t="inlineStr">
        <is>
          <t>inter./tech./jour</t>
        </is>
      </c>
      <c r="D10" s="8" t="inlineStr">
        <is>
          <t>Après-midi passée dans le secteur du SAV du matin : pas de trajet inter-secteur</t>
        </is>
      </c>
    </row>
    <row r="11">
      <c r="A11" s="5" t="inlineStr">
        <is>
          <t>Cadence SAV — Blois (ZMD dense)</t>
        </is>
      </c>
      <c r="B11" s="9" t="n">
        <v>7</v>
      </c>
      <c r="C11" s="7" t="inlineStr">
        <is>
          <t>créneaux/jour</t>
        </is>
      </c>
      <c r="D11" s="8" t="inlineStr">
        <is>
          <t>Capture d'écran : journée Blois = 7 créneaux</t>
        </is>
      </c>
    </row>
    <row r="12">
      <c r="A12" s="5" t="inlineStr">
        <is>
          <t>Cadence SAV — ZMD secondaire</t>
        </is>
      </c>
      <c r="B12" s="9" t="n">
        <v>6</v>
      </c>
      <c r="C12" s="7" t="inlineStr">
        <is>
          <t>créneaux/jour</t>
        </is>
      </c>
      <c r="D12" s="8" t="inlineStr">
        <is>
          <t>Vendôme, Romorantin</t>
        </is>
      </c>
    </row>
    <row r="13">
      <c r="A13" s="5" t="inlineStr">
        <is>
          <t>Cadence SAV — secteurs ruraux (RIP)</t>
        </is>
      </c>
      <c r="B13" s="9" t="n">
        <v>5</v>
      </c>
      <c r="C13" s="7" t="inlineStr">
        <is>
          <t>créneaux/jour</t>
        </is>
      </c>
      <c r="D13" s="8" t="inlineStr">
        <is>
          <t>Capture d'écran : matin 3 + après-midi 2</t>
        </is>
      </c>
    </row>
    <row r="14">
      <c r="A14" s="5" t="inlineStr">
        <is>
          <t>Jours ouvrés PROD / mois — base octobre</t>
        </is>
      </c>
      <c r="B14" s="10" t="n">
        <v>25</v>
      </c>
      <c r="C14" s="7" t="inlineStr">
        <is>
          <t>jours</t>
        </is>
      </c>
      <c r="D14" s="8" t="inlineStr">
        <is>
          <t>Déduit du fichier : Moy/JR (octobre) = volume / 25</t>
        </is>
      </c>
    </row>
    <row r="15">
      <c r="A15" s="5" t="inlineStr">
        <is>
          <t>Jours ouvrés PROD / mois — base mars</t>
        </is>
      </c>
      <c r="B15" s="10" t="n">
        <v>24</v>
      </c>
      <c r="C15" s="7" t="inlineStr">
        <is>
          <t>jours</t>
        </is>
      </c>
      <c r="D15" s="8" t="inlineStr">
        <is>
          <t>Déduit du fichier : Moy/JR (mars) = volume / 24</t>
        </is>
      </c>
    </row>
    <row r="16">
      <c r="A16" s="5" t="inlineStr">
        <is>
          <t>Jours ouvrés B2B / mois</t>
        </is>
      </c>
      <c r="B16" s="10" t="n">
        <v>22</v>
      </c>
      <c r="C16" s="7" t="inlineStr">
        <is>
          <t>jours</t>
        </is>
      </c>
      <c r="D16" s="8" t="inlineStr">
        <is>
          <t>Déduit du fichier : Moy/Jr (B2B) = volume / 22</t>
        </is>
      </c>
    </row>
    <row r="17">
      <c r="A17" s="5" t="inlineStr">
        <is>
          <t>Semaines par mois</t>
        </is>
      </c>
      <c r="B17" s="11" t="n">
        <v>4.3333</v>
      </c>
      <c r="C17" s="7" t="inlineStr">
        <is>
          <t>semaines</t>
        </is>
      </c>
      <c r="D17" s="8" t="inlineStr">
        <is>
          <t>Conversion mensuel → hebdomadaire</t>
        </is>
      </c>
    </row>
    <row r="18">
      <c r="A18" s="5" t="inlineStr">
        <is>
          <t>Taux de présence des techniciens</t>
        </is>
      </c>
      <c r="B18" s="6" t="n">
        <v>1</v>
      </c>
      <c r="C18" s="7" t="inlineStr">
        <is>
          <t>%</t>
        </is>
      </c>
      <c r="D18" s="8" t="inlineStr">
        <is>
          <t>1,00 = aucun congé/arrêt/formation. Mettre 0,88 pour un scénario réaliste.</t>
        </is>
      </c>
    </row>
    <row r="19">
      <c r="A19" s="5" t="inlineStr">
        <is>
          <t>Taux de remplissage attendu des créneaux SAV</t>
        </is>
      </c>
      <c r="B19" s="6" t="n">
        <v>0.5</v>
      </c>
      <c r="C19" s="7" t="inlineStr">
        <is>
          <t>%</t>
        </is>
      </c>
      <c r="D19" s="8" t="inlineStr">
        <is>
          <t>Part des créneaux SAV réservés réellement consommés. Curseur clé.</t>
        </is>
      </c>
    </row>
    <row r="21">
      <c r="A21" s="3" t="inlineStr">
        <is>
          <t>2 · EFFECTIF DISPONIBLE</t>
        </is>
      </c>
    </row>
    <row r="22">
      <c r="A22" s="4" t="inlineStr">
        <is>
          <t>Poste</t>
        </is>
      </c>
      <c r="B22" s="4" t="inlineStr">
        <is>
          <t>Valeur</t>
        </is>
      </c>
      <c r="C22" s="4" t="inlineStr">
        <is>
          <t>Unité</t>
        </is>
      </c>
      <c r="D22" s="4" t="inlineStr">
        <is>
          <t>Commentaire</t>
        </is>
      </c>
    </row>
    <row r="23">
      <c r="A23" s="5" t="inlineStr">
        <is>
          <t>Nombre total de techniciens</t>
        </is>
      </c>
      <c r="B23" s="11" t="n">
        <v>11</v>
      </c>
      <c r="C23" s="7" t="inlineStr">
        <is>
          <t>tech.</t>
        </is>
      </c>
      <c r="D23" s="8" t="inlineStr">
        <is>
          <t>Effectif actuel déclaré</t>
        </is>
      </c>
    </row>
    <row r="24">
      <c r="A24" s="5" t="inlineStr">
        <is>
          <t>dont travaillant 6 jours / semaine</t>
        </is>
      </c>
      <c r="B24" s="11" t="n">
        <v>5</v>
      </c>
      <c r="C24" s="7" t="inlineStr">
        <is>
          <t>tech.</t>
        </is>
      </c>
      <c r="D24" s="8" t="inlineStr">
        <is>
          <t>Déclaré — ce sont eux qui portent le rythme Mardi-Jeudi-Samedi</t>
        </is>
      </c>
    </row>
    <row r="25">
      <c r="A25" s="5" t="inlineStr">
        <is>
          <t>dont travaillant 5 jours / semaine</t>
        </is>
      </c>
      <c r="B25" s="12">
        <f>B23-B24</f>
        <v/>
      </c>
      <c r="C25" s="7" t="inlineStr">
        <is>
          <t>tech.</t>
        </is>
      </c>
      <c r="D25" s="8" t="inlineStr">
        <is>
          <t>total − techniciens 6 jours</t>
        </is>
      </c>
    </row>
    <row r="26">
      <c r="A26" s="5" t="inlineStr">
        <is>
          <t>Technicien 100 % SAV aujourd'hui</t>
        </is>
      </c>
      <c r="B26" s="11" t="n">
        <v>1</v>
      </c>
      <c r="C26" s="7" t="inlineStr">
        <is>
          <t>tech.</t>
        </is>
      </c>
      <c r="D26" s="8" t="inlineStr">
        <is>
          <t>Déclaré</t>
        </is>
      </c>
    </row>
    <row r="27">
      <c r="A27" s="5" t="inlineStr">
        <is>
          <t>Jours-technicien bruts / semaine</t>
        </is>
      </c>
      <c r="B27" s="13">
        <f>B24*6+B25*5</f>
        <v/>
      </c>
      <c r="C27" s="7" t="inlineStr">
        <is>
          <t>j-tech</t>
        </is>
      </c>
      <c r="D27" s="8" t="inlineStr">
        <is>
          <t>6 j × techs 6 jours + 5 j × techs 5 jours</t>
        </is>
      </c>
    </row>
    <row r="28">
      <c r="A28" s="5" t="inlineStr">
        <is>
          <t>Jours-technicien nets / semaine</t>
        </is>
      </c>
      <c r="B28" s="13">
        <f>B27*$B$18</f>
        <v/>
      </c>
      <c r="C28" s="7" t="inlineStr">
        <is>
          <t>j-tech</t>
        </is>
      </c>
      <c r="D28" s="8" t="inlineStr">
        <is>
          <t>bruts × taux de présence</t>
        </is>
      </c>
    </row>
    <row r="29">
      <c r="A29" s="5" t="inlineStr">
        <is>
          <t>Jours-technicien nets / mois</t>
        </is>
      </c>
      <c r="B29" s="13">
        <f>B28*$B$17</f>
        <v/>
      </c>
      <c r="C29" s="7" t="inlineStr">
        <is>
          <t>j-tech</t>
        </is>
      </c>
      <c r="D29" s="8" t="inlineStr"/>
    </row>
    <row r="30">
      <c r="A30" s="5" t="inlineStr">
        <is>
          <t>Jours-technicien par technicien / semaine</t>
        </is>
      </c>
      <c r="B30" s="13">
        <f>B27/B23</f>
        <v/>
      </c>
      <c r="C30" s="7" t="inlineStr">
        <is>
          <t>j-tech</t>
        </is>
      </c>
      <c r="D30" s="8" t="inlineStr">
        <is>
          <t>Moyenne pondérée, sert au calcul d'ETP</t>
        </is>
      </c>
    </row>
    <row r="32">
      <c r="A32" s="3" t="inlineStr">
        <is>
          <t>3 · VERDICT CAPACITAIRE</t>
        </is>
      </c>
    </row>
    <row r="33">
      <c r="A33" s="4" t="inlineStr">
        <is>
          <t>Poste</t>
        </is>
      </c>
      <c r="B33" s="4" t="inlineStr">
        <is>
          <t>Jours-tech / sem.</t>
        </is>
      </c>
      <c r="C33" s="4" t="inlineStr">
        <is>
          <t>Interventions / sem.</t>
        </is>
      </c>
      <c r="D33" s="4" t="inlineStr">
        <is>
          <t>Lecture</t>
        </is>
      </c>
    </row>
    <row r="34">
      <c r="A34" s="5" t="inlineStr">
        <is>
          <t>Capacité nette disponible</t>
        </is>
      </c>
      <c r="B34" s="13">
        <f>$B$28</f>
        <v/>
      </c>
      <c r="C34" s="13" t="inlineStr"/>
      <c r="D34" s="8" t="inlineStr">
        <is>
          <t>Ce que l'équipe peut produire, tous types d'intervention confondus</t>
        </is>
      </c>
    </row>
    <row r="35">
      <c r="A35" s="5" t="inlineStr">
        <is>
          <t>Charge PROD estimée +10 %</t>
        </is>
      </c>
      <c r="B35" s="13">
        <f>'Demande 41'!$L$18</f>
        <v/>
      </c>
      <c r="C35" s="13">
        <f>'Demande 41'!$K$18</f>
        <v/>
      </c>
      <c r="D35" s="8" t="inlineStr">
        <is>
          <t>Volume du fichier source, mois le plus chargé, B2B inclus, majoré de 10 %</t>
        </is>
      </c>
    </row>
    <row r="36">
      <c r="A36" s="5" t="inlineStr">
        <is>
          <t>Solde mobilisable pour le SAV</t>
        </is>
      </c>
      <c r="B36" s="13">
        <f>$B$34-$B$35</f>
        <v/>
      </c>
      <c r="C36" s="13" t="inlineStr"/>
      <c r="D36" s="8" t="inlineStr">
        <is>
          <t>Tout ce qui reste une fois la PROD servie dans le délai J+5/J+7</t>
        </is>
      </c>
    </row>
    <row r="37">
      <c r="A37" s="5" t="inlineStr">
        <is>
          <t>Charge moyenne d'un créneau SAV</t>
        </is>
      </c>
      <c r="B37" s="13">
        <f>'Demande 41'!$P$18/'Demande 41'!$O$18</f>
        <v/>
      </c>
      <c r="C37" s="13" t="inlineStr"/>
      <c r="D37" s="8" t="inlineStr">
        <is>
          <t>Pondérée par la répartition Blois / ruraux de la grille</t>
        </is>
      </c>
    </row>
    <row r="38">
      <c r="A38" s="14" t="inlineStr">
        <is>
          <t>Créneaux SAV finançables / semaine</t>
        </is>
      </c>
      <c r="B38" s="15" t="inlineStr"/>
      <c r="C38" s="15">
        <f>$B$36/$B$37</f>
        <v/>
      </c>
      <c r="D38" s="16" t="inlineStr">
        <is>
          <t>PLAFOND : au-delà, la PROD décroche du délai J+5/J+7</t>
        </is>
      </c>
    </row>
    <row r="39">
      <c r="A39" s="5" t="inlineStr">
        <is>
          <t>Créneaux SAV réservés dans la grille</t>
        </is>
      </c>
      <c r="B39" s="13" t="inlineStr"/>
      <c r="C39" s="13">
        <f>'Grille SAV'!$D$34</f>
        <v/>
      </c>
      <c r="D39" s="8" t="inlineStr">
        <is>
          <t>Réservation ≠ consommation : les créneaux non vendus rebasculent en PROD à J-1</t>
        </is>
      </c>
    </row>
    <row r="40">
      <c r="A40" s="5" t="inlineStr">
        <is>
          <t>Créneaux SAV réellement consommés</t>
        </is>
      </c>
      <c r="B40" s="13" t="inlineStr"/>
      <c r="C40" s="13">
        <f>$C$39*$B$19</f>
        <v/>
      </c>
      <c r="D40" s="8" t="inlineStr">
        <is>
          <t>réservés × taux de remplissage</t>
        </is>
      </c>
    </row>
    <row r="41">
      <c r="A41" s="17" t="inlineStr">
        <is>
          <t>Marge (+) ou dépassement (−)</t>
        </is>
      </c>
      <c r="B41" s="18" t="inlineStr"/>
      <c r="C41" s="18">
        <f>$C$38-$C$40</f>
        <v/>
      </c>
      <c r="D41" s="51">
        <f>"Seuil d'équilibre : "&amp;TEXT($C$38/$C$39,"0 %")&amp;" de remplissage des créneaux réservés, soit "&amp;TEXT($C$38,"0")&amp;" interventions SAV/semaine ("&amp;TEXT($C$38*4.3333,"0")&amp;"/mois)"</f>
        <v/>
      </c>
    </row>
    <row r="42">
      <c r="A42" s="20" t="inlineStr">
        <is>
          <t>VERDICT</t>
        </is>
      </c>
      <c r="B42" s="21">
        <f>IF($C$41&gt;=0,"TENABLE — "&amp;TEXT($C$41,"0")&amp;" créneaux SAV/sem. de marge à taux de remplissage "&amp;TEXT($B$19,"0%"),"INTENABLE — il manque "&amp;TEXT(-$C$41,"0")&amp;" créneaux SAV/sem., soit "&amp;TEXT(-$C$41*$B$37/$B$30,"0.0")&amp;" technicien(s) supplémentaire(s)")</f>
        <v/>
      </c>
      <c r="C42" s="25" t="n"/>
      <c r="D42" s="26" t="n"/>
    </row>
    <row r="44">
      <c r="A44" s="3" t="inlineStr">
        <is>
          <t>4 · SENSIBILITÉ — TECHNICIENS REQUIS SELON LE VOLUME SAV RÉEL</t>
        </is>
      </c>
    </row>
    <row r="45">
      <c r="A45" s="2" t="inlineStr">
        <is>
          <t>C'est LA donnée manquante : le fichier source ne contient que la PROD. Lire la ligne correspondant à votre volume SAV réel.</t>
        </is>
      </c>
    </row>
    <row r="46">
      <c r="A46" s="4" t="inlineStr">
        <is>
          <t>SAV réellement réalisé (inter./sem.)</t>
        </is>
      </c>
      <c r="B46" s="4" t="inlineStr">
        <is>
          <t>ETP requis — présence 100 %</t>
        </is>
      </c>
      <c r="C46" s="4" t="inlineStr">
        <is>
          <t>ETP requis — présence 88 %</t>
        </is>
      </c>
      <c r="D46" s="4" t="inlineStr">
        <is>
          <t>Lecture</t>
        </is>
      </c>
    </row>
    <row r="47">
      <c r="A47" s="23" t="n">
        <v>40</v>
      </c>
      <c r="B47" s="13">
        <f>($B$35+$A$47*$B$37)/$B$30</f>
        <v/>
      </c>
      <c r="C47" s="13">
        <f>($B$35+$A$47*$B$37)/($B$30*0.88)</f>
        <v/>
      </c>
      <c r="D47" s="24">
        <f>IF($B$47&lt;=$B$23,"Tenable à 11 techniciens","Il manque "&amp;TEXT($B$47-$B$23,"0.0")&amp;" ETP")</f>
        <v/>
      </c>
    </row>
    <row r="48">
      <c r="A48" s="23" t="n">
        <v>60</v>
      </c>
      <c r="B48" s="13">
        <f>($B$35+$A$48*$B$37)/$B$30</f>
        <v/>
      </c>
      <c r="C48" s="13">
        <f>($B$35+$A$48*$B$37)/($B$30*0.88)</f>
        <v/>
      </c>
      <c r="D48" s="24">
        <f>IF($B$48&lt;=$B$23,"Tenable à 11 techniciens","Il manque "&amp;TEXT($B$48-$B$23,"0.0")&amp;" ETP")</f>
        <v/>
      </c>
    </row>
    <row r="49">
      <c r="A49" s="23" t="n">
        <v>80</v>
      </c>
      <c r="B49" s="13">
        <f>($B$35+$A$49*$B$37)/$B$30</f>
        <v/>
      </c>
      <c r="C49" s="13">
        <f>($B$35+$A$49*$B$37)/($B$30*0.88)</f>
        <v/>
      </c>
      <c r="D49" s="24">
        <f>IF($B$49&lt;=$B$23,"Tenable à 11 techniciens","Il manque "&amp;TEXT($B$49-$B$23,"0.0")&amp;" ETP")</f>
        <v/>
      </c>
    </row>
    <row r="50">
      <c r="A50" s="23" t="n">
        <v>100</v>
      </c>
      <c r="B50" s="13">
        <f>($B$35+$A$50*$B$37)/$B$30</f>
        <v/>
      </c>
      <c r="C50" s="13">
        <f>($B$35+$A$50*$B$37)/($B$30*0.88)</f>
        <v/>
      </c>
      <c r="D50" s="24">
        <f>IF($B$50&lt;=$B$23,"Tenable à 11 techniciens","Il manque "&amp;TEXT($B$50-$B$23,"0.0")&amp;" ETP")</f>
        <v/>
      </c>
    </row>
    <row r="51">
      <c r="A51" s="23" t="n">
        <v>120</v>
      </c>
      <c r="B51" s="13">
        <f>($B$35+$A$51*$B$37)/$B$30</f>
        <v/>
      </c>
      <c r="C51" s="13">
        <f>($B$35+$A$51*$B$37)/($B$30*0.88)</f>
        <v/>
      </c>
      <c r="D51" s="24">
        <f>IF($B$51&lt;=$B$23,"Tenable à 11 techniciens","Il manque "&amp;TEXT($B$51-$B$23,"0.0")&amp;" ETP")</f>
        <v/>
      </c>
    </row>
    <row r="52">
      <c r="A52" s="23" t="n">
        <v>140</v>
      </c>
      <c r="B52" s="13">
        <f>($B$35+$A$52*$B$37)/$B$30</f>
        <v/>
      </c>
      <c r="C52" s="13">
        <f>($B$35+$A$52*$B$37)/($B$30*0.88)</f>
        <v/>
      </c>
      <c r="D52" s="24">
        <f>IF($B$52&lt;=$B$23,"Tenable à 11 techniciens","Il manque "&amp;TEXT($B$52-$B$23,"0.0")&amp;" ETP")</f>
        <v/>
      </c>
    </row>
    <row r="53">
      <c r="A53" s="23" t="n">
        <v>160</v>
      </c>
      <c r="B53" s="13">
        <f>($B$35+$A$53*$B$37)/$B$30</f>
        <v/>
      </c>
      <c r="C53" s="13">
        <f>($B$35+$A$53*$B$37)/($B$30*0.88)</f>
        <v/>
      </c>
      <c r="D53" s="24">
        <f>IF($B$53&lt;=$B$23,"Tenable à 11 techniciens","Il manque "&amp;TEXT($B$53-$B$23,"0.0")&amp;" ETP")</f>
        <v/>
      </c>
    </row>
    <row r="54">
      <c r="A54" s="23" t="n">
        <v>180</v>
      </c>
      <c r="B54" s="13">
        <f>($B$35+$A$54*$B$37)/$B$30</f>
        <v/>
      </c>
      <c r="C54" s="13">
        <f>($B$35+$A$54*$B$37)/($B$30*0.88)</f>
        <v/>
      </c>
      <c r="D54" s="24">
        <f>IF($B$54&lt;=$B$23,"Tenable à 11 techniciens","Il manque "&amp;TEXT($B$54-$B$23,"0.0")&amp;" ETP")</f>
        <v/>
      </c>
    </row>
  </sheetData>
  <mergeCells count="1">
    <mergeCell ref="B42:D4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8" customWidth="1" min="2" max="2"/>
    <col width="26" customWidth="1" min="3" max="3"/>
    <col width="26" customWidth="1" min="4" max="4"/>
  </cols>
  <sheetData>
    <row r="1">
      <c r="A1" s="1" t="inlineStr">
        <is>
          <t>TROIS SCÉNARIOS DE PLANIFICATION — DÉPARTEMENT 41</t>
        </is>
      </c>
    </row>
    <row r="2">
      <c r="A2" s="2" t="inlineStr">
        <is>
          <t>Comparés à effectif constant (11 techniciens, 60 jours-technicien par semaine) et à demande PROD identique (+10 %).</t>
        </is>
      </c>
    </row>
    <row r="4" ht="30" customHeight="1">
      <c r="A4" s="27" t="inlineStr">
        <is>
          <t>Critère</t>
        </is>
      </c>
      <c r="B4" s="27" t="inlineStr">
        <is>
          <t>A — Grille actuelle (capture)</t>
        </is>
      </c>
      <c r="C4" s="27" t="inlineStr">
        <is>
          <t>B — Rythme L-Me-V / Ma-J-S (RECOMMANDÉ)</t>
        </is>
      </c>
      <c r="D4" s="27" t="inlineStr">
        <is>
          <t>C — Renfort +2 techniciens</t>
        </is>
      </c>
    </row>
    <row r="5" ht="26" customHeight="1">
      <c r="A5" s="21" t="inlineStr">
        <is>
          <t>Techniciens dédiés SAV</t>
        </is>
      </c>
      <c r="B5" s="7" t="inlineStr">
        <is>
          <t>5 techniciens SAV pleins + 6 PROD</t>
        </is>
      </c>
      <c r="C5" s="42" t="inlineStr">
        <is>
          <t>1 SAV pur + 5 référents mixtes + 5 PROD</t>
        </is>
      </c>
      <c r="D5" s="7" t="inlineStr">
        <is>
          <t>1 SAV pur + 5 référents + 7 PROD</t>
        </is>
      </c>
    </row>
    <row r="6" ht="26" customHeight="1">
      <c r="A6" s="21" t="inlineStr">
        <is>
          <t>Effectif total</t>
        </is>
      </c>
      <c r="B6" s="7" t="inlineStr">
        <is>
          <t>11</t>
        </is>
      </c>
      <c r="C6" s="42" t="inlineStr">
        <is>
          <t>11</t>
        </is>
      </c>
      <c r="D6" s="7" t="inlineStr">
        <is>
          <t>13</t>
        </is>
      </c>
    </row>
    <row r="7" ht="26" customHeight="1">
      <c r="A7" s="21" t="inlineStr">
        <is>
          <t>Jours-technicien / semaine</t>
        </is>
      </c>
      <c r="B7" s="7" t="inlineStr">
        <is>
          <t>60</t>
        </is>
      </c>
      <c r="C7" s="42" t="inlineStr">
        <is>
          <t>60</t>
        </is>
      </c>
      <c r="D7" s="7" t="inlineStr">
        <is>
          <t>70</t>
        </is>
      </c>
    </row>
    <row r="8" ht="26" customHeight="1">
      <c r="A8" s="21" t="inlineStr">
        <is>
          <t>Secteurs tenant le J+1/J+2</t>
        </is>
      </c>
      <c r="B8" s="7" t="inlineStr">
        <is>
          <t>3 sur 12 (Blois, Pontlevoy, Vendôme)</t>
        </is>
      </c>
      <c r="C8" s="42" t="inlineStr">
        <is>
          <t>12 sur 12</t>
        </is>
      </c>
      <c r="D8" s="7" t="inlineStr">
        <is>
          <t>12 sur 12</t>
        </is>
      </c>
    </row>
    <row r="9" ht="26" customHeight="1">
      <c r="A9" s="21" t="inlineStr">
        <is>
          <t>Passages SAV / semaine / secteur</t>
        </is>
      </c>
      <c r="B9" s="7" t="inlineStr">
        <is>
          <t>1 à 5 selon le secteur — Cormenon et Vouzon : 1 seul</t>
        </is>
      </c>
      <c r="C9" s="42" t="inlineStr">
        <is>
          <t>3 minimum partout</t>
        </is>
      </c>
      <c r="D9" s="7" t="inlineStr">
        <is>
          <t>3 à 4</t>
        </is>
      </c>
    </row>
    <row r="10" ht="26" customHeight="1">
      <c r="A10" s="21" t="inlineStr">
        <is>
          <t>Créneaux SAV réservés / semaine</t>
        </is>
      </c>
      <c r="B10" s="7" t="inlineStr">
        <is>
          <t>142</t>
        </is>
      </c>
      <c r="C10" s="42" t="inlineStr">
        <is>
          <t>149</t>
        </is>
      </c>
      <c r="D10" s="7" t="inlineStr">
        <is>
          <t>149</t>
        </is>
      </c>
    </row>
    <row r="11" ht="26" customHeight="1">
      <c r="A11" s="21" t="inlineStr">
        <is>
          <t>Interventions PROD servies en direct</t>
        </is>
      </c>
      <c r="B11" s="7" t="inlineStr">
        <is>
          <t>≈ 140</t>
        </is>
      </c>
      <c r="C11" s="42" t="inlineStr">
        <is>
          <t>142</t>
        </is>
      </c>
      <c r="D11" s="7" t="inlineStr">
        <is>
          <t>192</t>
        </is>
      </c>
    </row>
    <row r="12" ht="26" customHeight="1">
      <c r="A12" s="21" t="inlineStr">
        <is>
          <t>Demande PROD +10 % à servir</t>
        </is>
      </c>
      <c r="B12" s="7" t="inlineStr">
        <is>
          <t>185</t>
        </is>
      </c>
      <c r="C12" s="42" t="inlineStr">
        <is>
          <t>185</t>
        </is>
      </c>
      <c r="D12" s="7" t="inlineStr">
        <is>
          <t>185</t>
        </is>
      </c>
    </row>
    <row r="13" ht="26" customHeight="1">
      <c r="A13" s="21" t="inlineStr">
        <is>
          <t>Écart PROD avant bascule</t>
        </is>
      </c>
      <c r="B13" s="7" t="inlineStr">
        <is>
          <t>− 45 / semaine</t>
        </is>
      </c>
      <c r="C13" s="42" t="inlineStr">
        <is>
          <t>− 43 / semaine</t>
        </is>
      </c>
      <c r="D13" s="7" t="inlineStr">
        <is>
          <t>+ 7 / semaine</t>
        </is>
      </c>
    </row>
    <row r="14" ht="26" customHeight="1">
      <c r="A14" s="21" t="inlineStr">
        <is>
          <t>Comblé par la bascule J-1 ?</t>
        </is>
      </c>
      <c r="B14" s="7" t="inlineStr">
        <is>
          <t>Non prévue dans le modèle actuel</t>
        </is>
      </c>
      <c r="C14" s="42" t="inlineStr">
        <is>
          <t>Oui : ≈ 48 interventions récupérées</t>
        </is>
      </c>
      <c r="D14" s="7" t="inlineStr">
        <is>
          <t>Sans objet</t>
        </is>
      </c>
    </row>
    <row r="15" ht="26" customHeight="1">
      <c r="A15" s="21" t="inlineStr">
        <is>
          <t>Taux de remplissage SAV maximal</t>
        </is>
      </c>
      <c r="B15" s="7" t="inlineStr">
        <is>
          <t>non tenable au-delà de ~20 %</t>
        </is>
      </c>
      <c r="C15" s="42" t="inlineStr">
        <is>
          <t>60 %</t>
        </is>
      </c>
      <c r="D15" s="7" t="inlineStr">
        <is>
          <t>100 %</t>
        </is>
      </c>
    </row>
    <row r="16" ht="26" customHeight="1">
      <c r="A16" s="21" t="inlineStr">
        <is>
          <t>Volume SAV absorbable / semaine</t>
        </is>
      </c>
      <c r="B16" s="7" t="inlineStr">
        <is>
          <t>≈ 30</t>
        </is>
      </c>
      <c r="C16" s="42" t="inlineStr">
        <is>
          <t>≈ 90</t>
        </is>
      </c>
      <c r="D16" s="7" t="inlineStr">
        <is>
          <t>≈ 149</t>
        </is>
      </c>
    </row>
    <row r="17" ht="26" customHeight="1">
      <c r="A17" s="21" t="inlineStr">
        <is>
          <t>Distance max. matin → après-midi</t>
        </is>
      </c>
      <c r="B17" s="7" t="inlineStr">
        <is>
          <t>46 km (Épiais → Cormenon)</t>
        </is>
      </c>
      <c r="C17" s="42" t="inlineStr">
        <is>
          <t>30 km (Montoire → Cormenon)</t>
        </is>
      </c>
      <c r="D17" s="7" t="inlineStr">
        <is>
          <t>30 km</t>
        </is>
      </c>
    </row>
    <row r="18" ht="26" customHeight="1">
      <c r="A18" s="21" t="inlineStr">
        <is>
          <t>Samedi utilisé</t>
        </is>
      </c>
      <c r="B18" s="7" t="inlineStr">
        <is>
          <t>Non</t>
        </is>
      </c>
      <c r="C18" s="42" t="inlineStr">
        <is>
          <t>Oui — les 5 techniciens à 6 jours portent le rythme Ma-J-S</t>
        </is>
      </c>
      <c r="D18" s="7" t="inlineStr">
        <is>
          <t>Oui</t>
        </is>
      </c>
    </row>
    <row r="19" ht="26" customHeight="1">
      <c r="A19" s="21" t="inlineStr">
        <is>
          <t>Marge en cas d'absence</t>
        </is>
      </c>
      <c r="B19" s="7" t="inlineStr">
        <is>
          <t>Nulle</t>
        </is>
      </c>
      <c r="C19" s="42" t="inlineStr">
        <is>
          <t>Nulle : il faut piocher dans la réservation SAV</t>
        </is>
      </c>
      <c r="D19" s="7" t="inlineStr">
        <is>
          <t>≈ 1 technicien</t>
        </is>
      </c>
    </row>
    <row r="20" ht="26" customHeight="1">
      <c r="A20" s="21" t="inlineStr">
        <is>
          <t>Coût</t>
        </is>
      </c>
      <c r="B20" s="7" t="inlineStr">
        <is>
          <t>Constant</t>
        </is>
      </c>
      <c r="C20" s="42" t="inlineStr">
        <is>
          <t>Constant</t>
        </is>
      </c>
      <c r="D20" s="7" t="inlineStr">
        <is>
          <t>+ 2 salaires</t>
        </is>
      </c>
    </row>
    <row r="21" ht="34" customHeight="1">
      <c r="A21" s="20" t="inlineStr">
        <is>
          <t>RECOMMANDATION</t>
        </is>
      </c>
      <c r="B21" s="21" t="inlineStr">
        <is>
          <t>Basculer sur le scénario B immédiatement : il ne coûte rien et fait passer le respect du J+1/J+2 de 3 à 12 secteurs. Ne déclencher le scénario C que si le volume SAV réel mesuré dépasse 90 interventions par semaine sur le département.</t>
        </is>
      </c>
      <c r="C21" s="25" t="n"/>
      <c r="D21" s="26" t="n"/>
    </row>
    <row r="23">
      <c r="A23" s="3" t="inlineStr">
        <is>
          <t>LEVIERS DE LIBÉRATION DE DISPONIBILITÉ, PAR ORDRE DE RENTABILITÉ</t>
        </is>
      </c>
    </row>
    <row r="24" ht="26" customHeight="1">
      <c r="A24" s="27" t="inlineStr">
        <is>
          <t>Levier</t>
        </is>
      </c>
      <c r="B24" s="27" t="inlineStr">
        <is>
          <t>Mécanisme</t>
        </is>
      </c>
      <c r="C24" s="27" t="inlineStr">
        <is>
          <t>Gain estimé</t>
        </is>
      </c>
      <c r="D24" s="27" t="inlineStr">
        <is>
          <t>Coût</t>
        </is>
      </c>
    </row>
    <row r="25" ht="28" customHeight="1">
      <c r="A25" s="21" t="inlineStr">
        <is>
          <t>1. Rythme L-Me-V / Ma-J-S</t>
        </is>
      </c>
      <c r="B25" s="28" t="inlineStr">
        <is>
          <t>Trois passages par semaine sur chaque secteur au lieu de 1 ou 2.</t>
        </is>
      </c>
      <c r="C25" s="7" t="inlineStr">
        <is>
          <t>J+1/J+2 tenu sur 12 secteurs au lieu de 3</t>
        </is>
      </c>
      <c r="D25" s="42" t="inlineStr">
        <is>
          <t>Nul — réorganisation</t>
        </is>
      </c>
    </row>
    <row r="26" ht="28" customHeight="1">
      <c r="A26" s="21" t="inlineStr">
        <is>
          <t>2. Bascule J-1 des créneaux SAV</t>
        </is>
      </c>
      <c r="B26" s="28" t="inlineStr">
        <is>
          <t>Tout créneau SAV non vendu à J-1 18 h est rempli par une PROD du carnet J+5/J+7.</t>
        </is>
      </c>
      <c r="C26" s="7" t="inlineStr">
        <is>
          <t>≈ 48 interventions PROD/sem. récupérées</t>
        </is>
      </c>
      <c r="D26" s="42" t="inlineStr">
        <is>
          <t>Nul — règle d'ordonnancement</t>
        </is>
      </c>
    </row>
    <row r="27" ht="28" customHeight="1">
      <c r="A27" s="21" t="inlineStr">
        <is>
          <t>3. Journées mixtes SAV + PROD</t>
        </is>
      </c>
      <c r="B27" s="28" t="inlineStr">
        <is>
          <t>L'après-midi se fait dans le secteur du SAV du matin : plus de trajet inter-secteur.</t>
        </is>
      </c>
      <c r="C27" s="7" t="inlineStr">
        <is>
          <t>Cadence PROD 4 → 5 sur ces demi-journées, soit ≈ 2 j-tech/sem.</t>
        </is>
      </c>
      <c r="D27" s="42" t="inlineStr">
        <is>
          <t>Nul</t>
        </is>
      </c>
    </row>
    <row r="28" ht="28" customHeight="1">
      <c r="A28" s="21" t="inlineStr">
        <is>
          <t>4. Samedi des 5 techniciens à 6 j</t>
        </is>
      </c>
      <c r="B28" s="28" t="inlineStr">
        <is>
          <t>Affecter les 6-jours aux secteurs du rythme Mardi-Jeudi-Samedi.</t>
        </is>
      </c>
      <c r="C28" s="7" t="inlineStr">
        <is>
          <t>Couvre les appels du jeudi et du vendredi</t>
        </is>
      </c>
      <c r="D28" s="42" t="inlineStr">
        <is>
          <t>Nul — déjà payé</t>
        </is>
      </c>
    </row>
    <row r="29" ht="28" customHeight="1">
      <c r="A29" s="21" t="inlineStr">
        <is>
          <t>5. Recomposition géographique</t>
        </is>
      </c>
      <c r="B29" s="28" t="inlineStr">
        <is>
          <t>Cormenon rattaché au Nord et non à la Sologne Est.</t>
        </is>
      </c>
      <c r="C29" s="7" t="inlineStr">
        <is>
          <t>−16 km sur l'enchaînement le plus long</t>
        </is>
      </c>
      <c r="D29" s="42" t="inlineStr">
        <is>
          <t>Nul</t>
        </is>
      </c>
    </row>
    <row r="30" ht="28" customHeight="1">
      <c r="A30" s="21" t="inlineStr">
        <is>
          <t>6. Renfort d'effectif</t>
        </is>
      </c>
      <c r="B30" s="28" t="inlineStr">
        <is>
          <t>Deux techniciens supplémentaires.</t>
        </is>
      </c>
      <c r="C30" s="7" t="inlineStr">
        <is>
          <t>+10 j-tech/sem., soit ≈ 55 créneaux SAV</t>
        </is>
      </c>
      <c r="D30" s="47" t="inlineStr">
        <is>
          <t>2 salaires</t>
        </is>
      </c>
    </row>
  </sheetData>
  <mergeCells count="1">
    <mergeCell ref="B21:D2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37"/>
  <sheetViews>
    <sheetView showGridLines="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1" customWidth="1" min="16" max="16"/>
    <col width="11" customWidth="1" min="17" max="17"/>
  </cols>
  <sheetData>
    <row r="1">
      <c r="A1" s="1" t="inlineStr">
        <is>
          <t>GRILLE HEBDOMADAIRE PROPOSÉE — 11 TECHNICIENS · DÉPARTEMENT 41</t>
        </is>
      </c>
    </row>
    <row r="2">
      <c r="A2" s="2" t="inlineStr">
        <is>
          <t>Principe : la tournée (technicien × jour × secteur) est FIGÉE. Seul le partage SAV / PROD à l'intérieur de la journée est variable.</t>
        </is>
      </c>
    </row>
    <row r="3">
      <c r="A3" s="2" t="inlineStr">
        <is>
          <t>Chaque secteur est visité 3 fois par semaine sur un rythme Lundi-Mercredi-Vendredi OU Mardi-Jeudi-Samedi : c'est ce qui garantit un créneau SAV à J+1 ou J+2 quel que soit le jour d'appel.</t>
        </is>
      </c>
    </row>
    <row r="4">
      <c r="A4" s="2" t="inlineStr">
        <is>
          <t>SAV = créneaux réservés, ouverts à la prise de RDV J+1/J+2.   PROD = interventions pré-affectées depuis le carnet J+5/J+7.   Les créneaux SAV non vendus basculent en PROD à J-1 18 h (voir onglet « Moteur dispo »).</t>
        </is>
      </c>
    </row>
    <row r="6" ht="34" customHeight="1">
      <c r="A6" s="27" t="inlineStr">
        <is>
          <t>Tech.</t>
        </is>
      </c>
      <c r="B6" s="27" t="inlineStr">
        <is>
          <t>Rôle / cluster</t>
        </is>
      </c>
      <c r="C6" s="27" t="inlineStr">
        <is>
          <t>Jours /sem.</t>
        </is>
      </c>
      <c r="D6" s="27" t="inlineStr">
        <is>
          <t>Lundi — matin</t>
        </is>
      </c>
      <c r="E6" s="27" t="inlineStr">
        <is>
          <t>Lundi — après-midi</t>
        </is>
      </c>
      <c r="F6" s="27" t="inlineStr">
        <is>
          <t>Mardi — matin</t>
        </is>
      </c>
      <c r="G6" s="27" t="inlineStr">
        <is>
          <t>Mardi — après-midi</t>
        </is>
      </c>
      <c r="H6" s="27" t="inlineStr">
        <is>
          <t>Mercredi — matin</t>
        </is>
      </c>
      <c r="I6" s="27" t="inlineStr">
        <is>
          <t>Mercredi — après-midi</t>
        </is>
      </c>
      <c r="J6" s="27" t="inlineStr">
        <is>
          <t>Jeudi — matin</t>
        </is>
      </c>
      <c r="K6" s="27" t="inlineStr">
        <is>
          <t>Jeudi — après-midi</t>
        </is>
      </c>
      <c r="L6" s="27" t="inlineStr">
        <is>
          <t>Vendredi — matin</t>
        </is>
      </c>
      <c r="M6" s="27" t="inlineStr">
        <is>
          <t>Vendredi — après-midi</t>
        </is>
      </c>
      <c r="N6" s="27" t="inlineStr">
        <is>
          <t>Samedi — matin</t>
        </is>
      </c>
      <c r="O6" s="27" t="inlineStr">
        <is>
          <t>Samedi — après-midi</t>
        </is>
      </c>
      <c r="P6" s="27" t="inlineStr">
        <is>
          <t>SAV réservés /sem.</t>
        </is>
      </c>
      <c r="Q6" s="27" t="inlineStr">
        <is>
          <t>PROD servies /sem.</t>
        </is>
      </c>
    </row>
    <row r="7" ht="30" customHeight="1">
      <c r="A7" s="35" t="inlineStr">
        <is>
          <t>T1</t>
        </is>
      </c>
      <c r="B7" s="28" t="inlineStr">
        <is>
          <t>Blois — référent SAV</t>
        </is>
      </c>
      <c r="C7" s="35" t="n">
        <v>5</v>
      </c>
      <c r="D7" s="36" t="inlineStr">
        <is>
          <t>Blois
SAV 4</t>
        </is>
      </c>
      <c r="E7" s="36" t="inlineStr">
        <is>
          <t>Blois
SAV 3</t>
        </is>
      </c>
      <c r="F7" s="36" t="inlineStr">
        <is>
          <t>Blois
SAV 4</t>
        </is>
      </c>
      <c r="G7" s="36" t="inlineStr">
        <is>
          <t>Blois
SAV 3</t>
        </is>
      </c>
      <c r="H7" s="36" t="inlineStr">
        <is>
          <t>Blois
SAV 4</t>
        </is>
      </c>
      <c r="I7" s="36" t="inlineStr">
        <is>
          <t>Blois
SAV 3</t>
        </is>
      </c>
      <c r="J7" s="36" t="inlineStr">
        <is>
          <t>Blois
SAV 4</t>
        </is>
      </c>
      <c r="K7" s="36" t="inlineStr">
        <is>
          <t>Blois
SAV 3</t>
        </is>
      </c>
      <c r="L7" s="36" t="inlineStr">
        <is>
          <t>Blois
SAV 4</t>
        </is>
      </c>
      <c r="M7" s="36" t="inlineStr">
        <is>
          <t>Blois
SAV 3</t>
        </is>
      </c>
      <c r="N7" s="37" t="inlineStr">
        <is>
          <t>repos</t>
        </is>
      </c>
      <c r="O7" s="37" t="inlineStr">
        <is>
          <t>repos</t>
        </is>
      </c>
      <c r="P7" s="35" t="n">
        <v>35</v>
      </c>
      <c r="Q7" s="35" t="n">
        <v>0</v>
      </c>
    </row>
    <row r="8" ht="30" customHeight="1">
      <c r="A8" s="35" t="inlineStr">
        <is>
          <t>T2</t>
        </is>
      </c>
      <c r="B8" s="28" t="inlineStr">
        <is>
          <t>Blois — mixte SAV/PROD</t>
        </is>
      </c>
      <c r="C8" s="35" t="n">
        <v>6</v>
      </c>
      <c r="D8" s="36" t="inlineStr">
        <is>
          <t>Blois
SAV 4</t>
        </is>
      </c>
      <c r="E8" s="38" t="inlineStr">
        <is>
          <t>Blois
PROD 2</t>
        </is>
      </c>
      <c r="F8" s="36" t="inlineStr">
        <is>
          <t>Blois
SAV 4</t>
        </is>
      </c>
      <c r="G8" s="38" t="inlineStr">
        <is>
          <t>Blois
PROD 2</t>
        </is>
      </c>
      <c r="H8" s="36" t="inlineStr">
        <is>
          <t>Blois
SAV 4</t>
        </is>
      </c>
      <c r="I8" s="38" t="inlineStr">
        <is>
          <t>Blois
PROD 2</t>
        </is>
      </c>
      <c r="J8" s="36" t="inlineStr">
        <is>
          <t>Blois
SAV 4</t>
        </is>
      </c>
      <c r="K8" s="38" t="inlineStr">
        <is>
          <t>Blois
PROD 2</t>
        </is>
      </c>
      <c r="L8" s="36" t="inlineStr">
        <is>
          <t>Blois
SAV 4</t>
        </is>
      </c>
      <c r="M8" s="38" t="inlineStr">
        <is>
          <t>Blois
PROD 2</t>
        </is>
      </c>
      <c r="N8" s="36" t="inlineStr">
        <is>
          <t>Blois
SAV 4</t>
        </is>
      </c>
      <c r="O8" s="38" t="inlineStr">
        <is>
          <t>Blois
PROD 2</t>
        </is>
      </c>
      <c r="P8" s="35" t="n">
        <v>24</v>
      </c>
      <c r="Q8" s="35" t="n">
        <v>12</v>
      </c>
    </row>
    <row r="9" ht="30" customHeight="1">
      <c r="A9" s="35" t="inlineStr">
        <is>
          <t>T3</t>
        </is>
      </c>
      <c r="B9" s="28" t="inlineStr">
        <is>
          <t>Sud-Ouest — Pontlevoy / Valencisse</t>
        </is>
      </c>
      <c r="C9" s="35" t="n">
        <v>6</v>
      </c>
      <c r="D9" s="36" t="inlineStr">
        <is>
          <t>Pontlevoy
SAV 3</t>
        </is>
      </c>
      <c r="E9" s="38" t="inlineStr">
        <is>
          <t>Pontlevoy
PROD 2</t>
        </is>
      </c>
      <c r="F9" s="36" t="inlineStr">
        <is>
          <t>Valencisse
SAV 3</t>
        </is>
      </c>
      <c r="G9" s="38" t="inlineStr">
        <is>
          <t>Valencisse
PROD 2</t>
        </is>
      </c>
      <c r="H9" s="36" t="inlineStr">
        <is>
          <t>Pontlevoy
SAV 3</t>
        </is>
      </c>
      <c r="I9" s="38" t="inlineStr">
        <is>
          <t>Pontlevoy
PROD 2</t>
        </is>
      </c>
      <c r="J9" s="36" t="inlineStr">
        <is>
          <t>Valencisse
SAV 3</t>
        </is>
      </c>
      <c r="K9" s="38" t="inlineStr">
        <is>
          <t>Valencisse
PROD 2</t>
        </is>
      </c>
      <c r="L9" s="36" t="inlineStr">
        <is>
          <t>Pontlevoy
SAV 3</t>
        </is>
      </c>
      <c r="M9" s="38" t="inlineStr">
        <is>
          <t>Pontlevoy
PROD 2</t>
        </is>
      </c>
      <c r="N9" s="36" t="inlineStr">
        <is>
          <t>Valencisse
SAV 3</t>
        </is>
      </c>
      <c r="O9" s="38" t="inlineStr">
        <is>
          <t>Valencisse
PROD 2</t>
        </is>
      </c>
      <c r="P9" s="35" t="n">
        <v>18</v>
      </c>
      <c r="Q9" s="35" t="n">
        <v>12</v>
      </c>
    </row>
    <row r="10" ht="30" customHeight="1">
      <c r="A10" s="35" t="inlineStr">
        <is>
          <t>T4</t>
        </is>
      </c>
      <c r="B10" s="28" t="inlineStr">
        <is>
          <t>Nord — Vendômois / Perche / Beauce</t>
        </is>
      </c>
      <c r="C10" s="35" t="n">
        <v>6</v>
      </c>
      <c r="D10" s="36" t="inlineStr">
        <is>
          <t>Vendôme
SAV 3</t>
        </is>
      </c>
      <c r="E10" s="36" t="inlineStr">
        <is>
          <t>Épiais
SAV 2</t>
        </is>
      </c>
      <c r="F10" s="36" t="inlineStr">
        <is>
          <t>Montoire
SAV 3</t>
        </is>
      </c>
      <c r="G10" s="36" t="inlineStr">
        <is>
          <t>Cormenon
SAV 2</t>
        </is>
      </c>
      <c r="H10" s="36" t="inlineStr">
        <is>
          <t>Vendôme
SAV 3</t>
        </is>
      </c>
      <c r="I10" s="36" t="inlineStr">
        <is>
          <t>Épiais
SAV 2</t>
        </is>
      </c>
      <c r="J10" s="36" t="inlineStr">
        <is>
          <t>Montoire
SAV 3</t>
        </is>
      </c>
      <c r="K10" s="36" t="inlineStr">
        <is>
          <t>Cormenon
SAV 2</t>
        </is>
      </c>
      <c r="L10" s="36" t="inlineStr">
        <is>
          <t>Vendôme
SAV 3</t>
        </is>
      </c>
      <c r="M10" s="36" t="inlineStr">
        <is>
          <t>Épiais
SAV 2</t>
        </is>
      </c>
      <c r="N10" s="36" t="inlineStr">
        <is>
          <t>Montoire
SAV 3</t>
        </is>
      </c>
      <c r="O10" s="36" t="inlineStr">
        <is>
          <t>Cormenon
SAV 2</t>
        </is>
      </c>
      <c r="P10" s="35" t="n">
        <v>30</v>
      </c>
      <c r="Q10" s="35" t="n">
        <v>0</v>
      </c>
    </row>
    <row r="11" ht="30" customHeight="1">
      <c r="A11" s="35" t="inlineStr">
        <is>
          <t>T5</t>
        </is>
      </c>
      <c r="B11" s="28" t="inlineStr">
        <is>
          <t>Sologne Sud — Mur / Romorantin / La Ferté</t>
        </is>
      </c>
      <c r="C11" s="35" t="n">
        <v>6</v>
      </c>
      <c r="D11" s="36" t="inlineStr">
        <is>
          <t>Mur-de-Sologne
SAV 3</t>
        </is>
      </c>
      <c r="E11" s="38" t="inlineStr">
        <is>
          <t>Mur-de-Sologne
PROD 2</t>
        </is>
      </c>
      <c r="F11" s="36" t="inlineStr">
        <is>
          <t>Romorantin
SAV 3</t>
        </is>
      </c>
      <c r="G11" s="36" t="inlineStr">
        <is>
          <t>La Ferté-Imb.
SAV 2</t>
        </is>
      </c>
      <c r="H11" s="36" t="inlineStr">
        <is>
          <t>Mur-de-Sologne
SAV 3</t>
        </is>
      </c>
      <c r="I11" s="38" t="inlineStr">
        <is>
          <t>Mur-de-Sologne
PROD 2</t>
        </is>
      </c>
      <c r="J11" s="36" t="inlineStr">
        <is>
          <t>Romorantin
SAV 3</t>
        </is>
      </c>
      <c r="K11" s="36" t="inlineStr">
        <is>
          <t>La Ferté-Imb.
SAV 2</t>
        </is>
      </c>
      <c r="L11" s="36" t="inlineStr">
        <is>
          <t>Mur-de-Sologne
SAV 3</t>
        </is>
      </c>
      <c r="M11" s="38" t="inlineStr">
        <is>
          <t>Mur-de-Sologne
PROD 2</t>
        </is>
      </c>
      <c r="N11" s="36" t="inlineStr">
        <is>
          <t>Romorantin
SAV 3</t>
        </is>
      </c>
      <c r="O11" s="36" t="inlineStr">
        <is>
          <t>La Ferté-Imb.
SAV 2</t>
        </is>
      </c>
      <c r="P11" s="35" t="n">
        <v>24</v>
      </c>
      <c r="Q11" s="35" t="n">
        <v>6</v>
      </c>
    </row>
    <row r="12" ht="30" customHeight="1">
      <c r="A12" s="35" t="inlineStr">
        <is>
          <t>T6</t>
        </is>
      </c>
      <c r="B12" s="28" t="inlineStr">
        <is>
          <t>Sologne Est — Crouy / Vouzon</t>
        </is>
      </c>
      <c r="C12" s="35" t="n">
        <v>6</v>
      </c>
      <c r="D12" s="36" t="inlineStr">
        <is>
          <t>Crouy-s-Cosson
SAV 3</t>
        </is>
      </c>
      <c r="E12" s="38" t="inlineStr">
        <is>
          <t>Crouy-s-Cosson
PROD 2</t>
        </is>
      </c>
      <c r="F12" s="36" t="inlineStr">
        <is>
          <t>Vouzon
SAV 3</t>
        </is>
      </c>
      <c r="G12" s="38" t="inlineStr">
        <is>
          <t>Vouzon
PROD 2</t>
        </is>
      </c>
      <c r="H12" s="36" t="inlineStr">
        <is>
          <t>Crouy-s-Cosson
SAV 3</t>
        </is>
      </c>
      <c r="I12" s="38" t="inlineStr">
        <is>
          <t>Crouy-s-Cosson
PROD 2</t>
        </is>
      </c>
      <c r="J12" s="36" t="inlineStr">
        <is>
          <t>Vouzon
SAV 3</t>
        </is>
      </c>
      <c r="K12" s="38" t="inlineStr">
        <is>
          <t>Vouzon
PROD 2</t>
        </is>
      </c>
      <c r="L12" s="36" t="inlineStr">
        <is>
          <t>Crouy-s-Cosson
SAV 3</t>
        </is>
      </c>
      <c r="M12" s="38" t="inlineStr">
        <is>
          <t>Crouy-s-Cosson
PROD 2</t>
        </is>
      </c>
      <c r="N12" s="36" t="inlineStr">
        <is>
          <t>Vouzon
SAV 3</t>
        </is>
      </c>
      <c r="O12" s="38" t="inlineStr">
        <is>
          <t>Vouzon
PROD 2</t>
        </is>
      </c>
      <c r="P12" s="35" t="n">
        <v>18</v>
      </c>
      <c r="Q12" s="35" t="n">
        <v>12</v>
      </c>
    </row>
    <row r="13" ht="30" customHeight="1">
      <c r="A13" s="35" t="inlineStr">
        <is>
          <t>T7</t>
        </is>
      </c>
      <c r="B13" s="28" t="inlineStr">
        <is>
          <t>PROD — Blois agglo</t>
        </is>
      </c>
      <c r="C13" s="35" t="n">
        <v>5</v>
      </c>
      <c r="D13" s="38" t="inlineStr">
        <is>
          <t>Blois
PROD 2</t>
        </is>
      </c>
      <c r="E13" s="38" t="inlineStr">
        <is>
          <t>Blois
PROD 2</t>
        </is>
      </c>
      <c r="F13" s="38" t="inlineStr">
        <is>
          <t>Blois
PROD 2</t>
        </is>
      </c>
      <c r="G13" s="38" t="inlineStr">
        <is>
          <t>Blois
PROD 2</t>
        </is>
      </c>
      <c r="H13" s="38" t="inlineStr">
        <is>
          <t>Blois
PROD 2</t>
        </is>
      </c>
      <c r="I13" s="38" t="inlineStr">
        <is>
          <t>Blois
PROD 2</t>
        </is>
      </c>
      <c r="J13" s="38" t="inlineStr">
        <is>
          <t>Blois
PROD 2</t>
        </is>
      </c>
      <c r="K13" s="38" t="inlineStr">
        <is>
          <t>Blois
PROD 2</t>
        </is>
      </c>
      <c r="L13" s="38" t="inlineStr">
        <is>
          <t>Blois
PROD 2</t>
        </is>
      </c>
      <c r="M13" s="38" t="inlineStr">
        <is>
          <t>Blois
PROD 2</t>
        </is>
      </c>
      <c r="N13" s="37" t="inlineStr">
        <is>
          <t>repos</t>
        </is>
      </c>
      <c r="O13" s="37" t="inlineStr">
        <is>
          <t>repos</t>
        </is>
      </c>
      <c r="P13" s="35" t="n">
        <v>0</v>
      </c>
      <c r="Q13" s="35" t="n">
        <v>20</v>
      </c>
    </row>
    <row r="14" ht="30" customHeight="1">
      <c r="A14" s="35" t="inlineStr">
        <is>
          <t>T8</t>
        </is>
      </c>
      <c r="B14" s="28" t="inlineStr">
        <is>
          <t>PROD — Blois agglo</t>
        </is>
      </c>
      <c r="C14" s="35" t="n">
        <v>5</v>
      </c>
      <c r="D14" s="38" t="inlineStr">
        <is>
          <t>Blois
PROD 2</t>
        </is>
      </c>
      <c r="E14" s="38" t="inlineStr">
        <is>
          <t>Blois
PROD 2</t>
        </is>
      </c>
      <c r="F14" s="38" t="inlineStr">
        <is>
          <t>Blois
PROD 2</t>
        </is>
      </c>
      <c r="G14" s="38" t="inlineStr">
        <is>
          <t>Blois
PROD 2</t>
        </is>
      </c>
      <c r="H14" s="38" t="inlineStr">
        <is>
          <t>Blois
PROD 2</t>
        </is>
      </c>
      <c r="I14" s="38" t="inlineStr">
        <is>
          <t>Blois
PROD 2</t>
        </is>
      </c>
      <c r="J14" s="38" t="inlineStr">
        <is>
          <t>Blois
PROD 2</t>
        </is>
      </c>
      <c r="K14" s="38" t="inlineStr">
        <is>
          <t>Blois
PROD 2</t>
        </is>
      </c>
      <c r="L14" s="38" t="inlineStr">
        <is>
          <t>Blois
PROD 2</t>
        </is>
      </c>
      <c r="M14" s="38" t="inlineStr">
        <is>
          <t>Blois
PROD 2</t>
        </is>
      </c>
      <c r="N14" s="37" t="inlineStr">
        <is>
          <t>repos</t>
        </is>
      </c>
      <c r="O14" s="37" t="inlineStr">
        <is>
          <t>repos</t>
        </is>
      </c>
      <c r="P14" s="35" t="n">
        <v>0</v>
      </c>
      <c r="Q14" s="35" t="n">
        <v>20</v>
      </c>
    </row>
    <row r="15" ht="30" customHeight="1">
      <c r="A15" s="35" t="inlineStr">
        <is>
          <t>T9</t>
        </is>
      </c>
      <c r="B15" s="28" t="inlineStr">
        <is>
          <t>PROD — Nord (Vendômois/Beauce)</t>
        </is>
      </c>
      <c r="C15" s="35" t="n">
        <v>5</v>
      </c>
      <c r="D15" s="38" t="inlineStr">
        <is>
          <t>Vendôme
PROD 2</t>
        </is>
      </c>
      <c r="E15" s="38" t="inlineStr">
        <is>
          <t>Épiais
PROD 2</t>
        </is>
      </c>
      <c r="F15" s="38" t="inlineStr">
        <is>
          <t>Vendôme
PROD 2</t>
        </is>
      </c>
      <c r="G15" s="38" t="inlineStr">
        <is>
          <t>Épiais
PROD 2</t>
        </is>
      </c>
      <c r="H15" s="38" t="inlineStr">
        <is>
          <t>Vendôme
PROD 2</t>
        </is>
      </c>
      <c r="I15" s="38" t="inlineStr">
        <is>
          <t>Épiais
PROD 2</t>
        </is>
      </c>
      <c r="J15" s="38" t="inlineStr">
        <is>
          <t>Vendôme
PROD 2</t>
        </is>
      </c>
      <c r="K15" s="38" t="inlineStr">
        <is>
          <t>Épiais
PROD 2</t>
        </is>
      </c>
      <c r="L15" s="38" t="inlineStr">
        <is>
          <t>Vendôme
PROD 2</t>
        </is>
      </c>
      <c r="M15" s="38" t="inlineStr">
        <is>
          <t>Épiais
PROD 2</t>
        </is>
      </c>
      <c r="N15" s="37" t="inlineStr">
        <is>
          <t>repos</t>
        </is>
      </c>
      <c r="O15" s="37" t="inlineStr">
        <is>
          <t>repos</t>
        </is>
      </c>
      <c r="P15" s="35" t="n">
        <v>0</v>
      </c>
      <c r="Q15" s="35" t="n">
        <v>20</v>
      </c>
    </row>
    <row r="16" ht="30" customHeight="1">
      <c r="A16" s="35" t="inlineStr">
        <is>
          <t>T10</t>
        </is>
      </c>
      <c r="B16" s="28" t="inlineStr">
        <is>
          <t>PROD — Sologne</t>
        </is>
      </c>
      <c r="C16" s="35" t="n">
        <v>5</v>
      </c>
      <c r="D16" s="38" t="inlineStr">
        <is>
          <t>Romorantin
PROD 2</t>
        </is>
      </c>
      <c r="E16" s="38" t="inlineStr">
        <is>
          <t>Mur-de-Sologne
PROD 2</t>
        </is>
      </c>
      <c r="F16" s="38" t="inlineStr">
        <is>
          <t>Romorantin
PROD 2</t>
        </is>
      </c>
      <c r="G16" s="38" t="inlineStr">
        <is>
          <t>Mur-de-Sologne
PROD 2</t>
        </is>
      </c>
      <c r="H16" s="38" t="inlineStr">
        <is>
          <t>Romorantin
PROD 2</t>
        </is>
      </c>
      <c r="I16" s="38" t="inlineStr">
        <is>
          <t>Mur-de-Sologne
PROD 2</t>
        </is>
      </c>
      <c r="J16" s="38" t="inlineStr">
        <is>
          <t>Romorantin
PROD 2</t>
        </is>
      </c>
      <c r="K16" s="38" t="inlineStr">
        <is>
          <t>Mur-de-Sologne
PROD 2</t>
        </is>
      </c>
      <c r="L16" s="38" t="inlineStr">
        <is>
          <t>Romorantin
PROD 2</t>
        </is>
      </c>
      <c r="M16" s="38" t="inlineStr">
        <is>
          <t>Mur-de-Sologne
PROD 2</t>
        </is>
      </c>
      <c r="N16" s="37" t="inlineStr">
        <is>
          <t>repos</t>
        </is>
      </c>
      <c r="O16" s="37" t="inlineStr">
        <is>
          <t>repos</t>
        </is>
      </c>
      <c r="P16" s="35" t="n">
        <v>0</v>
      </c>
      <c r="Q16" s="35" t="n">
        <v>20</v>
      </c>
    </row>
    <row r="17" ht="30" customHeight="1">
      <c r="A17" s="35" t="inlineStr">
        <is>
          <t>T11</t>
        </is>
      </c>
      <c r="B17" s="28" t="inlineStr">
        <is>
          <t>PROD — Sud-Ouest / Val de Cher</t>
        </is>
      </c>
      <c r="C17" s="35" t="n">
        <v>5</v>
      </c>
      <c r="D17" s="38" t="inlineStr">
        <is>
          <t>Pontlevoy
PROD 2</t>
        </is>
      </c>
      <c r="E17" s="38" t="inlineStr">
        <is>
          <t>Pontlevoy
PROD 2</t>
        </is>
      </c>
      <c r="F17" s="38" t="inlineStr">
        <is>
          <t>Pontlevoy
PROD 2</t>
        </is>
      </c>
      <c r="G17" s="38" t="inlineStr">
        <is>
          <t>Pontlevoy
PROD 2</t>
        </is>
      </c>
      <c r="H17" s="38" t="inlineStr">
        <is>
          <t>Pontlevoy
PROD 2</t>
        </is>
      </c>
      <c r="I17" s="38" t="inlineStr">
        <is>
          <t>Pontlevoy
PROD 2</t>
        </is>
      </c>
      <c r="J17" s="38" t="inlineStr">
        <is>
          <t>Pontlevoy
PROD 2</t>
        </is>
      </c>
      <c r="K17" s="38" t="inlineStr">
        <is>
          <t>Pontlevoy
PROD 2</t>
        </is>
      </c>
      <c r="L17" s="38" t="inlineStr">
        <is>
          <t>Pontlevoy
PROD 2</t>
        </is>
      </c>
      <c r="M17" s="38" t="inlineStr">
        <is>
          <t>Pontlevoy
PROD 2</t>
        </is>
      </c>
      <c r="N17" s="37" t="inlineStr">
        <is>
          <t>repos</t>
        </is>
      </c>
      <c r="O17" s="37" t="inlineStr">
        <is>
          <t>repos</t>
        </is>
      </c>
      <c r="P17" s="35" t="n">
        <v>0</v>
      </c>
      <c r="Q17" s="35" t="n">
        <v>20</v>
      </c>
    </row>
    <row r="18">
      <c r="A18" s="27" t="inlineStr">
        <is>
          <t>TOTAL</t>
        </is>
      </c>
      <c r="B18" s="26" t="n"/>
      <c r="C18" s="27">
        <f>SUM(C7:C17)</f>
        <v/>
      </c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27">
        <f>SUM(P7:P17)</f>
        <v/>
      </c>
      <c r="Q18" s="27">
        <f>SUM(Q7:Q17)</f>
        <v/>
      </c>
    </row>
    <row r="20">
      <c r="A20" s="3" t="inlineStr">
        <is>
          <t>CONTRÔLE DU DÉLAI SAV J+1 / J+2 — SECTEUR PAR SECTEUR</t>
        </is>
      </c>
    </row>
    <row r="21" ht="32" customHeight="1">
      <c r="A21" s="27" t="inlineStr">
        <is>
          <t>Secteur</t>
        </is>
      </c>
      <c r="B21" s="27" t="inlineStr">
        <is>
          <t>Jours de passage SAV</t>
        </is>
      </c>
      <c r="C21" s="27" t="inlineStr">
        <is>
          <t>Passages /sem.</t>
        </is>
      </c>
      <c r="D21" s="27" t="inlineStr">
        <is>
          <t>Créneaux SAV réservés /sem.</t>
        </is>
      </c>
      <c r="E21" s="27" t="inlineStr">
        <is>
          <t>Rythme</t>
        </is>
      </c>
      <c r="F21" s="27" t="inlineStr">
        <is>
          <t>Délai SAV J+1/J+2</t>
        </is>
      </c>
      <c r="G21" s="27" t="inlineStr">
        <is>
          <t>Charge SAV (j-tech/sem.)</t>
        </is>
      </c>
    </row>
    <row r="22">
      <c r="A22" s="28" t="inlineStr">
        <is>
          <t>Blois</t>
        </is>
      </c>
      <c r="B22" s="7" t="inlineStr">
        <is>
          <t>Lun · Mar · Mer · Jeu · Ven · Sam</t>
        </is>
      </c>
      <c r="C22" s="7" t="n">
        <v>6</v>
      </c>
      <c r="D22" s="35" t="n">
        <v>59</v>
      </c>
      <c r="E22" s="7" t="inlineStr">
        <is>
          <t>Quotidien</t>
        </is>
      </c>
      <c r="F22" s="40">
        <f>IF($C22&gt;=3,"OK","À CORRIGER")</f>
        <v/>
      </c>
      <c r="G22" s="41">
        <f>IFERROR($D22/INDEX('Demande 41'!$M$6:$M$17,MATCH($A22,'Demande 41'!$A$6:$A$17,0)),"")</f>
        <v/>
      </c>
    </row>
    <row r="23">
      <c r="A23" s="28" t="inlineStr">
        <is>
          <t>Pontlevoy</t>
        </is>
      </c>
      <c r="B23" s="7" t="inlineStr">
        <is>
          <t>Lun · Mer · Ven</t>
        </is>
      </c>
      <c r="C23" s="7" t="n">
        <v>3</v>
      </c>
      <c r="D23" s="35" t="n">
        <v>9</v>
      </c>
      <c r="E23" s="7" t="inlineStr">
        <is>
          <t>L-Me-V</t>
        </is>
      </c>
      <c r="F23" s="40">
        <f>IF($C23&gt;=3,"OK","À CORRIGER")</f>
        <v/>
      </c>
      <c r="G23" s="41">
        <f>IFERROR($D23/INDEX('Demande 41'!$M$6:$M$17,MATCH($A23,'Demande 41'!$A$6:$A$17,0)),"")</f>
        <v/>
      </c>
    </row>
    <row r="24">
      <c r="A24" s="28" t="inlineStr">
        <is>
          <t>Valencisse</t>
        </is>
      </c>
      <c r="B24" s="7" t="inlineStr">
        <is>
          <t>Mar · Jeu · Sam</t>
        </is>
      </c>
      <c r="C24" s="7" t="n">
        <v>3</v>
      </c>
      <c r="D24" s="35" t="n">
        <v>9</v>
      </c>
      <c r="E24" s="7" t="inlineStr">
        <is>
          <t>Ma-J-S</t>
        </is>
      </c>
      <c r="F24" s="40">
        <f>IF($C24&gt;=3,"OK","À CORRIGER")</f>
        <v/>
      </c>
      <c r="G24" s="41">
        <f>IFERROR($D24/INDEX('Demande 41'!$M$6:$M$17,MATCH($A24,'Demande 41'!$A$6:$A$17,0)),"")</f>
        <v/>
      </c>
    </row>
    <row r="25">
      <c r="A25" s="28" t="inlineStr">
        <is>
          <t>Vendôme</t>
        </is>
      </c>
      <c r="B25" s="7" t="inlineStr">
        <is>
          <t>Lun · Mer · Ven</t>
        </is>
      </c>
      <c r="C25" s="7" t="n">
        <v>3</v>
      </c>
      <c r="D25" s="35" t="n">
        <v>9</v>
      </c>
      <c r="E25" s="7" t="inlineStr">
        <is>
          <t>L-Me-V</t>
        </is>
      </c>
      <c r="F25" s="40">
        <f>IF($C25&gt;=3,"OK","À CORRIGER")</f>
        <v/>
      </c>
      <c r="G25" s="41">
        <f>IFERROR($D25/INDEX('Demande 41'!$M$6:$M$17,MATCH($A25,'Demande 41'!$A$6:$A$17,0)),"")</f>
        <v/>
      </c>
    </row>
    <row r="26">
      <c r="A26" s="28" t="inlineStr">
        <is>
          <t>Épiais</t>
        </is>
      </c>
      <c r="B26" s="7" t="inlineStr">
        <is>
          <t>Lun · Mer · Ven</t>
        </is>
      </c>
      <c r="C26" s="7" t="n">
        <v>3</v>
      </c>
      <c r="D26" s="35" t="n">
        <v>6</v>
      </c>
      <c r="E26" s="7" t="inlineStr">
        <is>
          <t>L-Me-V</t>
        </is>
      </c>
      <c r="F26" s="40">
        <f>IF($C26&gt;=3,"OK","À CORRIGER")</f>
        <v/>
      </c>
      <c r="G26" s="41">
        <f>IFERROR($D26/INDEX('Demande 41'!$M$6:$M$17,MATCH($A26,'Demande 41'!$A$6:$A$17,0)),"")</f>
        <v/>
      </c>
    </row>
    <row r="27">
      <c r="A27" s="28" t="inlineStr">
        <is>
          <t>Montoire-sur-le-Loir</t>
        </is>
      </c>
      <c r="B27" s="7" t="inlineStr">
        <is>
          <t>Mar · Jeu · Sam</t>
        </is>
      </c>
      <c r="C27" s="7" t="n">
        <v>3</v>
      </c>
      <c r="D27" s="35" t="n">
        <v>9</v>
      </c>
      <c r="E27" s="7" t="inlineStr">
        <is>
          <t>Ma-J-S</t>
        </is>
      </c>
      <c r="F27" s="40">
        <f>IF($C27&gt;=3,"OK","À CORRIGER")</f>
        <v/>
      </c>
      <c r="G27" s="41">
        <f>IFERROR($D27/INDEX('Demande 41'!$M$6:$M$17,MATCH($A27,'Demande 41'!$A$6:$A$17,0)),"")</f>
        <v/>
      </c>
    </row>
    <row r="28">
      <c r="A28" s="28" t="inlineStr">
        <is>
          <t>Cormenon</t>
        </is>
      </c>
      <c r="B28" s="7" t="inlineStr">
        <is>
          <t>Mar · Jeu · Sam</t>
        </is>
      </c>
      <c r="C28" s="7" t="n">
        <v>3</v>
      </c>
      <c r="D28" s="35" t="n">
        <v>6</v>
      </c>
      <c r="E28" s="7" t="inlineStr">
        <is>
          <t>Ma-J-S</t>
        </is>
      </c>
      <c r="F28" s="40">
        <f>IF($C28&gt;=3,"OK","À CORRIGER")</f>
        <v/>
      </c>
      <c r="G28" s="41">
        <f>IFERROR($D28/INDEX('Demande 41'!$M$6:$M$17,MATCH($A28,'Demande 41'!$A$6:$A$17,0)),"")</f>
        <v/>
      </c>
    </row>
    <row r="29">
      <c r="A29" s="28" t="inlineStr">
        <is>
          <t>Crouy-sur-Cosson</t>
        </is>
      </c>
      <c r="B29" s="7" t="inlineStr">
        <is>
          <t>Lun · Mer · Ven</t>
        </is>
      </c>
      <c r="C29" s="7" t="n">
        <v>3</v>
      </c>
      <c r="D29" s="35" t="n">
        <v>9</v>
      </c>
      <c r="E29" s="7" t="inlineStr">
        <is>
          <t>L-Me-V</t>
        </is>
      </c>
      <c r="F29" s="40">
        <f>IF($C29&gt;=3,"OK","À CORRIGER")</f>
        <v/>
      </c>
      <c r="G29" s="41">
        <f>IFERROR($D29/INDEX('Demande 41'!$M$6:$M$17,MATCH($A29,'Demande 41'!$A$6:$A$17,0)),"")</f>
        <v/>
      </c>
    </row>
    <row r="30">
      <c r="A30" s="28" t="inlineStr">
        <is>
          <t>Vouzon</t>
        </is>
      </c>
      <c r="B30" s="7" t="inlineStr">
        <is>
          <t>Mar · Jeu · Sam</t>
        </is>
      </c>
      <c r="C30" s="7" t="n">
        <v>3</v>
      </c>
      <c r="D30" s="35" t="n">
        <v>9</v>
      </c>
      <c r="E30" s="7" t="inlineStr">
        <is>
          <t>Ma-J-S</t>
        </is>
      </c>
      <c r="F30" s="40">
        <f>IF($C30&gt;=3,"OK","À CORRIGER")</f>
        <v/>
      </c>
      <c r="G30" s="41">
        <f>IFERROR($D30/INDEX('Demande 41'!$M$6:$M$17,MATCH($A30,'Demande 41'!$A$6:$A$17,0)),"")</f>
        <v/>
      </c>
    </row>
    <row r="31">
      <c r="A31" s="28" t="inlineStr">
        <is>
          <t>Mur-de-Sologne</t>
        </is>
      </c>
      <c r="B31" s="7" t="inlineStr">
        <is>
          <t>Lun · Mer · Ven</t>
        </is>
      </c>
      <c r="C31" s="7" t="n">
        <v>3</v>
      </c>
      <c r="D31" s="35" t="n">
        <v>9</v>
      </c>
      <c r="E31" s="7" t="inlineStr">
        <is>
          <t>L-Me-V</t>
        </is>
      </c>
      <c r="F31" s="40">
        <f>IF($C31&gt;=3,"OK","À CORRIGER")</f>
        <v/>
      </c>
      <c r="G31" s="41">
        <f>IFERROR($D31/INDEX('Demande 41'!$M$6:$M$17,MATCH($A31,'Demande 41'!$A$6:$A$17,0)),"")</f>
        <v/>
      </c>
    </row>
    <row r="32">
      <c r="A32" s="28" t="inlineStr">
        <is>
          <t>Romorantin-Lanthenay</t>
        </is>
      </c>
      <c r="B32" s="7" t="inlineStr">
        <is>
          <t>Mar · Jeu · Sam</t>
        </is>
      </c>
      <c r="C32" s="7" t="n">
        <v>3</v>
      </c>
      <c r="D32" s="35" t="n">
        <v>9</v>
      </c>
      <c r="E32" s="7" t="inlineStr">
        <is>
          <t>Ma-J-S</t>
        </is>
      </c>
      <c r="F32" s="40">
        <f>IF($C32&gt;=3,"OK","À CORRIGER")</f>
        <v/>
      </c>
      <c r="G32" s="41">
        <f>IFERROR($D32/INDEX('Demande 41'!$M$6:$M$17,MATCH($A32,'Demande 41'!$A$6:$A$17,0)),"")</f>
        <v/>
      </c>
    </row>
    <row r="33">
      <c r="A33" s="28" t="inlineStr">
        <is>
          <t>La Ferté-Imbault</t>
        </is>
      </c>
      <c r="B33" s="7" t="inlineStr">
        <is>
          <t>Mar · Jeu · Sam</t>
        </is>
      </c>
      <c r="C33" s="7" t="n">
        <v>3</v>
      </c>
      <c r="D33" s="35" t="n">
        <v>6</v>
      </c>
      <c r="E33" s="7" t="inlineStr">
        <is>
          <t>Ma-J-S</t>
        </is>
      </c>
      <c r="F33" s="40">
        <f>IF($C33&gt;=3,"OK","À CORRIGER")</f>
        <v/>
      </c>
      <c r="G33" s="41">
        <f>IFERROR($D33/INDEX('Demande 41'!$M$6:$M$17,MATCH($A33,'Demande 41'!$A$6:$A$17,0)),"")</f>
        <v/>
      </c>
    </row>
    <row r="34">
      <c r="A34" s="27" t="inlineStr">
        <is>
          <t>TOTAL</t>
        </is>
      </c>
      <c r="B34" s="27" t="inlineStr">
        <is>
          <t>12 secteurs</t>
        </is>
      </c>
      <c r="C34" s="27" t="n"/>
      <c r="D34" s="27">
        <f>SUM(D22:D33)</f>
        <v/>
      </c>
      <c r="E34" s="27" t="n"/>
      <c r="F34" s="27" t="n"/>
      <c r="G34" s="33">
        <f>SUM(G22:G33)</f>
        <v/>
      </c>
    </row>
    <row r="36">
      <c r="A36" s="2" t="inlineStr">
        <is>
          <t>Les 5 techniciens à 6 jours sont les 5 référents ruraux (T2 à T6) : c'est le samedi qui rend possible le rythme Mardi-Jeudi-Samedi, donc la tenue du J+1/J+2 sur la moitié des secteurs.</t>
        </is>
      </c>
    </row>
    <row r="37">
      <c r="A37" s="2" t="inlineStr">
        <is>
          <t>Enchaînements matin → après-midi sur deux secteurs différents : Vendôme→Épiais 29 km · Montoire→Cormenon 30 km · Romorantin→La Ferté-Imbault 22 km. Tous les autres enchaînements restent dans le même secteur.</t>
        </is>
      </c>
    </row>
  </sheetData>
  <mergeCells count="1">
    <mergeCell ref="A18:B18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14" customWidth="1" min="3" max="3"/>
    <col width="9" customWidth="1" min="4" max="4"/>
    <col width="20" customWidth="1" min="5" max="5"/>
    <col width="44" customWidth="1" min="6" max="6"/>
    <col width="30" customWidth="1" min="7" max="7"/>
  </cols>
  <sheetData>
    <row r="1">
      <c r="A1" s="1" t="inlineStr">
        <is>
          <t>AFFECTATION DES 11 TECHNICIENS</t>
        </is>
      </c>
    </row>
    <row r="2">
      <c r="A2" s="2" t="inlineStr">
        <is>
          <t>5 techniciens à 6 jours + 6 techniciens à 5 jours = 60 jours-technicien par semaine.</t>
        </is>
      </c>
    </row>
    <row r="4" ht="28" customHeight="1">
      <c r="A4" s="27" t="inlineStr">
        <is>
          <t>Tech.</t>
        </is>
      </c>
      <c r="B4" s="27" t="inlineStr">
        <is>
          <t>Rôle</t>
        </is>
      </c>
      <c r="C4" s="27" t="inlineStr">
        <is>
          <t>Cluster</t>
        </is>
      </c>
      <c r="D4" s="27" t="inlineStr">
        <is>
          <t>Jours /sem.</t>
        </is>
      </c>
      <c r="E4" s="27" t="inlineStr">
        <is>
          <t>Base conseillée</t>
        </is>
      </c>
      <c r="F4" s="27" t="inlineStr">
        <is>
          <t>Secteurs couverts</t>
        </is>
      </c>
      <c r="G4" s="27" t="inlineStr">
        <is>
          <t>Type de journée</t>
        </is>
      </c>
    </row>
    <row r="5" ht="24" customHeight="1">
      <c r="A5" s="35" t="inlineStr">
        <is>
          <t>T1</t>
        </is>
      </c>
      <c r="B5" s="28" t="inlineStr">
        <is>
          <t>Référent SAV Blois</t>
        </is>
      </c>
      <c r="C5" s="7" t="inlineStr">
        <is>
          <t>Blois</t>
        </is>
      </c>
      <c r="D5" s="7" t="n">
        <v>5</v>
      </c>
      <c r="E5" s="28" t="inlineStr">
        <is>
          <t>Blois</t>
        </is>
      </c>
      <c r="F5" s="28" t="inlineStr">
        <is>
          <t>Blois</t>
        </is>
      </c>
      <c r="G5" s="28" t="inlineStr">
        <is>
          <t>SAV toute la journée</t>
        </is>
      </c>
    </row>
    <row r="6" ht="24" customHeight="1">
      <c r="A6" s="49" t="inlineStr">
        <is>
          <t>T2</t>
        </is>
      </c>
      <c r="B6" s="50" t="inlineStr">
        <is>
          <t>Blois mixte</t>
        </is>
      </c>
      <c r="C6" s="46" t="inlineStr">
        <is>
          <t>Blois</t>
        </is>
      </c>
      <c r="D6" s="46" t="n">
        <v>6</v>
      </c>
      <c r="E6" s="50" t="inlineStr">
        <is>
          <t>Blois</t>
        </is>
      </c>
      <c r="F6" s="50" t="inlineStr">
        <is>
          <t>Blois</t>
        </is>
      </c>
      <c r="G6" s="50" t="inlineStr">
        <is>
          <t>SAV matin / PROD après-midi</t>
        </is>
      </c>
    </row>
    <row r="7" ht="24" customHeight="1">
      <c r="A7" s="49" t="inlineStr">
        <is>
          <t>T3</t>
        </is>
      </c>
      <c r="B7" s="50" t="inlineStr">
        <is>
          <t>Référent Sud-Ouest</t>
        </is>
      </c>
      <c r="C7" s="46" t="inlineStr">
        <is>
          <t>Sud-Ouest</t>
        </is>
      </c>
      <c r="D7" s="46" t="n">
        <v>6</v>
      </c>
      <c r="E7" s="50" t="inlineStr">
        <is>
          <t>Pontlevoy ou Montrichard</t>
        </is>
      </c>
      <c r="F7" s="50" t="inlineStr">
        <is>
          <t>Pontlevoy (L-Me-V) · Valencisse (Ma-J-S)</t>
        </is>
      </c>
      <c r="G7" s="50" t="inlineStr">
        <is>
          <t>SAV matin / PROD après-midi</t>
        </is>
      </c>
    </row>
    <row r="8" ht="24" customHeight="1">
      <c r="A8" s="49" t="inlineStr">
        <is>
          <t>T4</t>
        </is>
      </c>
      <c r="B8" s="50" t="inlineStr">
        <is>
          <t>Référent Nord</t>
        </is>
      </c>
      <c r="C8" s="46" t="inlineStr">
        <is>
          <t>Nord</t>
        </is>
      </c>
      <c r="D8" s="46" t="n">
        <v>6</v>
      </c>
      <c r="E8" s="50" t="inlineStr">
        <is>
          <t>Vendôme</t>
        </is>
      </c>
      <c r="F8" s="50" t="inlineStr">
        <is>
          <t>Vendôme + Épiais (L-Me-V) · Montoire + Cormenon (Ma-J-S)</t>
        </is>
      </c>
      <c r="G8" s="50" t="inlineStr">
        <is>
          <t>SAV matin et après-midi</t>
        </is>
      </c>
    </row>
    <row r="9" ht="24" customHeight="1">
      <c r="A9" s="49" t="inlineStr">
        <is>
          <t>T5</t>
        </is>
      </c>
      <c r="B9" s="50" t="inlineStr">
        <is>
          <t>Référent Sologne Sud</t>
        </is>
      </c>
      <c r="C9" s="46" t="inlineStr">
        <is>
          <t>Sologne Sud</t>
        </is>
      </c>
      <c r="D9" s="46" t="n">
        <v>6</v>
      </c>
      <c r="E9" s="50" t="inlineStr">
        <is>
          <t>Romorantin-Lanthenay</t>
        </is>
      </c>
      <c r="F9" s="50" t="inlineStr">
        <is>
          <t>Mur-de-Sologne (L-Me-V) · Romorantin + La Ferté-Imbault (Ma-J-S)</t>
        </is>
      </c>
      <c r="G9" s="50" t="inlineStr">
        <is>
          <t>Mixte selon le jour</t>
        </is>
      </c>
    </row>
    <row r="10" ht="24" customHeight="1">
      <c r="A10" s="49" t="inlineStr">
        <is>
          <t>T6</t>
        </is>
      </c>
      <c r="B10" s="50" t="inlineStr">
        <is>
          <t>Référent Sologne Est</t>
        </is>
      </c>
      <c r="C10" s="46" t="inlineStr">
        <is>
          <t>Est</t>
        </is>
      </c>
      <c r="D10" s="46" t="n">
        <v>6</v>
      </c>
      <c r="E10" s="50" t="inlineStr">
        <is>
          <t>Crouy-sur-Cosson ou Lamotte-Beuvron</t>
        </is>
      </c>
      <c r="F10" s="50" t="inlineStr">
        <is>
          <t>Crouy-sur-Cosson (L-Me-V) · Vouzon (Ma-J-S)</t>
        </is>
      </c>
      <c r="G10" s="50" t="inlineStr">
        <is>
          <t>SAV matin / PROD après-midi</t>
        </is>
      </c>
    </row>
    <row r="11" ht="24" customHeight="1">
      <c r="A11" s="35" t="inlineStr">
        <is>
          <t>T7</t>
        </is>
      </c>
      <c r="B11" s="28" t="inlineStr">
        <is>
          <t>PROD Blois agglo</t>
        </is>
      </c>
      <c r="C11" s="7" t="inlineStr">
        <is>
          <t>Blois</t>
        </is>
      </c>
      <c r="D11" s="7" t="n">
        <v>5</v>
      </c>
      <c r="E11" s="28" t="inlineStr">
        <is>
          <t>Blois</t>
        </is>
      </c>
      <c r="F11" s="28" t="inlineStr">
        <is>
          <t>Blois</t>
        </is>
      </c>
      <c r="G11" s="28" t="inlineStr">
        <is>
          <t>PROD</t>
        </is>
      </c>
    </row>
    <row r="12" ht="24" customHeight="1">
      <c r="A12" s="35" t="inlineStr">
        <is>
          <t>T8</t>
        </is>
      </c>
      <c r="B12" s="28" t="inlineStr">
        <is>
          <t>PROD Blois agglo</t>
        </is>
      </c>
      <c r="C12" s="7" t="inlineStr">
        <is>
          <t>Blois</t>
        </is>
      </c>
      <c r="D12" s="7" t="n">
        <v>5</v>
      </c>
      <c r="E12" s="28" t="inlineStr">
        <is>
          <t>Blois</t>
        </is>
      </c>
      <c r="F12" s="28" t="inlineStr">
        <is>
          <t>Blois</t>
        </is>
      </c>
      <c r="G12" s="28" t="inlineStr">
        <is>
          <t>PROD</t>
        </is>
      </c>
    </row>
    <row r="13" ht="24" customHeight="1">
      <c r="A13" s="35" t="inlineStr">
        <is>
          <t>T9</t>
        </is>
      </c>
      <c r="B13" s="28" t="inlineStr">
        <is>
          <t>PROD Nord</t>
        </is>
      </c>
      <c r="C13" s="7" t="inlineStr">
        <is>
          <t>Nord</t>
        </is>
      </c>
      <c r="D13" s="7" t="n">
        <v>5</v>
      </c>
      <c r="E13" s="28" t="inlineStr">
        <is>
          <t>Vendôme</t>
        </is>
      </c>
      <c r="F13" s="28" t="inlineStr">
        <is>
          <t>Vendôme · Épiais · Montoire · Cormenon</t>
        </is>
      </c>
      <c r="G13" s="28" t="inlineStr">
        <is>
          <t>PROD</t>
        </is>
      </c>
    </row>
    <row r="14" ht="24" customHeight="1">
      <c r="A14" s="35" t="inlineStr">
        <is>
          <t>T10</t>
        </is>
      </c>
      <c r="B14" s="28" t="inlineStr">
        <is>
          <t>PROD Sologne</t>
        </is>
      </c>
      <c r="C14" s="7" t="inlineStr">
        <is>
          <t>Sologne Sud</t>
        </is>
      </c>
      <c r="D14" s="7" t="n">
        <v>5</v>
      </c>
      <c r="E14" s="28" t="inlineStr">
        <is>
          <t>Romorantin-Lanthenay</t>
        </is>
      </c>
      <c r="F14" s="28" t="inlineStr">
        <is>
          <t>Romorantin · Mur-de-Sologne · La Ferté-Imbault · Vouzon</t>
        </is>
      </c>
      <c r="G14" s="28" t="inlineStr">
        <is>
          <t>PROD</t>
        </is>
      </c>
    </row>
    <row r="15" ht="24" customHeight="1">
      <c r="A15" s="35" t="inlineStr">
        <is>
          <t>T11</t>
        </is>
      </c>
      <c r="B15" s="28" t="inlineStr">
        <is>
          <t>PROD Sud-Ouest</t>
        </is>
      </c>
      <c r="C15" s="7" t="inlineStr">
        <is>
          <t>Sud-Ouest</t>
        </is>
      </c>
      <c r="D15" s="7" t="n">
        <v>5</v>
      </c>
      <c r="E15" s="28" t="inlineStr">
        <is>
          <t>Pontlevoy</t>
        </is>
      </c>
      <c r="F15" s="28" t="inlineStr">
        <is>
          <t>Pontlevoy · Valencisse</t>
        </is>
      </c>
      <c r="G15" s="28" t="inlineStr">
        <is>
          <t>PROD</t>
        </is>
      </c>
    </row>
    <row r="16">
      <c r="A16" s="27" t="inlineStr">
        <is>
          <t>TOTAL</t>
        </is>
      </c>
      <c r="B16" s="27">
        <f>COUNTA(A5:A15)&amp;" techniciens"</f>
        <v/>
      </c>
      <c r="C16" s="27" t="n"/>
      <c r="D16" s="27">
        <f>SUM(D5:D15)</f>
        <v/>
      </c>
      <c r="E16" s="27" t="n"/>
      <c r="F16" s="27" t="inlineStr">
        <is>
          <t>12 secteurs GRDV couverts</t>
        </is>
      </c>
      <c r="G16" s="27" t="n"/>
    </row>
    <row r="18">
      <c r="A18" s="2" t="inlineStr">
        <is>
          <t>Fond orange = les 5 techniciens travaillant 6 jours. Ce sont eux qui doivent porter les secteurs du rythme Mardi-Jeudi-Samedi : sans leur samedi, aucun créneau SAV n'existe à J+1/J+2 pour un appel du jeudi ou du vendredi.</t>
        </is>
      </c>
    </row>
    <row r="19">
      <c r="A19" s="2" t="inlineStr">
        <is>
          <t>Le technicien 100 % SAV déjà en poste devient T1 sur Blois, qui concentre 34 % du volume départemental.</t>
        </is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7" customWidth="1" min="3" max="3"/>
    <col width="13" customWidth="1" min="4" max="4"/>
    <col width="10" customWidth="1" min="5" max="5"/>
    <col width="13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3" customWidth="1" min="14" max="14"/>
    <col width="14" customWidth="1" min="15" max="15"/>
    <col width="13" customWidth="1" min="16" max="16"/>
    <col width="13" customWidth="1" min="17" max="17"/>
    <col width="12" customWidth="1" min="18" max="18"/>
  </cols>
  <sheetData>
    <row r="1">
      <c r="A1" s="1" t="inlineStr">
        <is>
          <t>DEMANDE &amp; CHARGE PAR SECTEUR — DÉPARTEMENT 41</t>
        </is>
      </c>
    </row>
    <row r="2">
      <c r="A2" s="2" t="inlineStr">
        <is>
          <t>Colonnes E-G : volumes bruts du fichier source. Colonne O (bleue) : volume SAV réel — À RENSEIGNER, c'est la donnée qui pilote tout le dimensionnement.</t>
        </is>
      </c>
    </row>
    <row r="3">
      <c r="A3" s="2" t="inlineStr">
        <is>
          <t>Charge exprimée en jours-technicien par semaine (1 j-tech = 1 technicien × 1 journée). Le total ligne 18 alimente l'onglet Synthèse.</t>
        </is>
      </c>
    </row>
    <row r="5" ht="46" customHeight="1">
      <c r="A5" s="27" t="inlineStr">
        <is>
          <t>Secteur GRDV</t>
        </is>
      </c>
      <c r="B5" s="27" t="inlineStr">
        <is>
          <t>Commune pivot</t>
        </is>
      </c>
      <c r="C5" s="27" t="inlineStr">
        <is>
          <t>Zone</t>
        </is>
      </c>
      <c r="D5" s="27" t="inlineStr">
        <is>
          <t>Cluster géo.</t>
        </is>
      </c>
      <c r="E5" s="27" t="inlineStr">
        <is>
          <t>Dist. Blois (km)</t>
        </is>
      </c>
      <c r="F5" s="27" t="inlineStr">
        <is>
          <t>PROD octobre (inter./mois)</t>
        </is>
      </c>
      <c r="G5" s="27" t="inlineStr">
        <is>
          <t>PROD mars (inter./mois)</t>
        </is>
      </c>
      <c r="H5" s="27" t="inlineStr">
        <is>
          <t>B2B (inter./mois)</t>
        </is>
      </c>
      <c r="I5" s="27" t="inlineStr">
        <is>
          <t>Pointe /jour (B2B inclus)</t>
        </is>
      </c>
      <c r="J5" s="27" t="inlineStr">
        <is>
          <t>Pointe /jour +10 %</t>
        </is>
      </c>
      <c r="K5" s="27" t="inlineStr">
        <is>
          <t>PROD /semaine +10 %</t>
        </is>
      </c>
      <c r="L5" s="27" t="inlineStr">
        <is>
          <t>Charge PROD (j-tech/sem.)</t>
        </is>
      </c>
      <c r="M5" s="27" t="inlineStr">
        <is>
          <t>Cadence SAV (créneaux/j)</t>
        </is>
      </c>
      <c r="N5" s="27" t="inlineStr">
        <is>
          <t>SAV réservé /sem. (grille)</t>
        </is>
      </c>
      <c r="O5" s="27" t="inlineStr">
        <is>
          <t>SAV RÉEL /sem. (à saisir)</t>
        </is>
      </c>
      <c r="P5" s="27" t="inlineStr">
        <is>
          <t>Charge SAV (j-tech/sem.)</t>
        </is>
      </c>
      <c r="Q5" s="27" t="inlineStr">
        <is>
          <t>Charge totale (j-tech/sem.)</t>
        </is>
      </c>
      <c r="R5" s="27" t="inlineStr">
        <is>
          <t>Techniciens équivalents</t>
        </is>
      </c>
    </row>
    <row r="6">
      <c r="A6" s="28" t="inlineStr">
        <is>
          <t>Blois</t>
        </is>
      </c>
      <c r="B6" s="28" t="inlineStr">
        <is>
          <t>Blois</t>
        </is>
      </c>
      <c r="C6" s="7" t="inlineStr">
        <is>
          <t>ZMD</t>
        </is>
      </c>
      <c r="D6" s="7" t="inlineStr">
        <is>
          <t>Blois</t>
        </is>
      </c>
      <c r="E6" s="7" t="n">
        <v>0</v>
      </c>
      <c r="F6" s="7" t="n">
        <v>240</v>
      </c>
      <c r="G6" s="7" t="n">
        <v>218</v>
      </c>
      <c r="H6" s="7" t="n">
        <v>3</v>
      </c>
      <c r="I6" s="12">
        <f>MAX($F6/'Synthèse'!$B$14,$G6/'Synthèse'!$B$15)+$H6/'Synthèse'!$B$16</f>
        <v/>
      </c>
      <c r="J6" s="12">
        <f>$I6*(1+'Synthèse'!$B$8)</f>
        <v/>
      </c>
      <c r="K6" s="13">
        <f>(MAX($F6,$G6)+$H6)*(1+'Synthèse'!$B$8)/'Synthèse'!$B$17</f>
        <v/>
      </c>
      <c r="L6" s="13">
        <f>$K6/'Synthèse'!$B$9</f>
        <v/>
      </c>
      <c r="M6" s="29">
        <f>'Synthèse'!$B$11</f>
        <v/>
      </c>
      <c r="N6" s="30" t="n">
        <v>59</v>
      </c>
      <c r="O6" s="10" t="n">
        <v>35</v>
      </c>
      <c r="P6" s="12">
        <f>$O6/$M6</f>
        <v/>
      </c>
      <c r="Q6" s="12">
        <f>$L6+$P6</f>
        <v/>
      </c>
      <c r="R6" s="12">
        <f>$Q6/'Synthèse'!$B$30</f>
        <v/>
      </c>
    </row>
    <row r="7">
      <c r="A7" s="28" t="inlineStr">
        <is>
          <t>Valencisse</t>
        </is>
      </c>
      <c r="B7" s="28" t="inlineStr">
        <is>
          <t>Valencisse</t>
        </is>
      </c>
      <c r="C7" s="7" t="inlineStr">
        <is>
          <t>RIP</t>
        </is>
      </c>
      <c r="D7" s="7" t="inlineStr">
        <is>
          <t>Sud-Ouest</t>
        </is>
      </c>
      <c r="E7" s="7" t="n">
        <v>11</v>
      </c>
      <c r="F7" s="7" t="n">
        <v>43</v>
      </c>
      <c r="G7" s="7" t="n">
        <v>42</v>
      </c>
      <c r="H7" s="7" t="n">
        <v>0.67</v>
      </c>
      <c r="I7" s="12">
        <f>MAX($F7/'Synthèse'!$B$14,$G7/'Synthèse'!$B$15)+$H7/'Synthèse'!$B$16</f>
        <v/>
      </c>
      <c r="J7" s="12">
        <f>$I7*(1+'Synthèse'!$B$8)</f>
        <v/>
      </c>
      <c r="K7" s="13">
        <f>(MAX($F7,$G7)+$H7)*(1+'Synthèse'!$B$8)/'Synthèse'!$B$17</f>
        <v/>
      </c>
      <c r="L7" s="13">
        <f>$K7/'Synthèse'!$B$9</f>
        <v/>
      </c>
      <c r="M7" s="29">
        <f>'Synthèse'!$B$13</f>
        <v/>
      </c>
      <c r="N7" s="30" t="n">
        <v>9</v>
      </c>
      <c r="O7" s="10" t="n">
        <v>5</v>
      </c>
      <c r="P7" s="12">
        <f>$O7/$M7</f>
        <v/>
      </c>
      <c r="Q7" s="12">
        <f>$L7+$P7</f>
        <v/>
      </c>
      <c r="R7" s="12">
        <f>$Q7/'Synthèse'!$B$30</f>
        <v/>
      </c>
    </row>
    <row r="8">
      <c r="A8" s="28" t="inlineStr">
        <is>
          <t>Pontlevoy</t>
        </is>
      </c>
      <c r="B8" s="28" t="inlineStr">
        <is>
          <t>Pontlevoy</t>
        </is>
      </c>
      <c r="C8" s="7" t="inlineStr">
        <is>
          <t>RIP</t>
        </is>
      </c>
      <c r="D8" s="7" t="inlineStr">
        <is>
          <t>Sud-Ouest</t>
        </is>
      </c>
      <c r="E8" s="7" t="n">
        <v>28</v>
      </c>
      <c r="F8" s="7" t="n">
        <v>88</v>
      </c>
      <c r="G8" s="7" t="n">
        <v>84</v>
      </c>
      <c r="H8" s="7" t="n">
        <v>0.67</v>
      </c>
      <c r="I8" s="12">
        <f>MAX($F8/'Synthèse'!$B$14,$G8/'Synthèse'!$B$15)+$H8/'Synthèse'!$B$16</f>
        <v/>
      </c>
      <c r="J8" s="12">
        <f>$I8*(1+'Synthèse'!$B$8)</f>
        <v/>
      </c>
      <c r="K8" s="13">
        <f>(MAX($F8,$G8)+$H8)*(1+'Synthèse'!$B$8)/'Synthèse'!$B$17</f>
        <v/>
      </c>
      <c r="L8" s="13">
        <f>$K8/'Synthèse'!$B$9</f>
        <v/>
      </c>
      <c r="M8" s="29">
        <f>'Synthèse'!$B$13</f>
        <v/>
      </c>
      <c r="N8" s="30" t="n">
        <v>9</v>
      </c>
      <c r="O8" s="10" t="n">
        <v>5</v>
      </c>
      <c r="P8" s="12">
        <f>$O8/$M8</f>
        <v/>
      </c>
      <c r="Q8" s="12">
        <f>$L8+$P8</f>
        <v/>
      </c>
      <c r="R8" s="12">
        <f>$Q8/'Synthèse'!$B$30</f>
        <v/>
      </c>
    </row>
    <row r="9">
      <c r="A9" s="28" t="inlineStr">
        <is>
          <t>Vendôme</t>
        </is>
      </c>
      <c r="B9" s="28" t="inlineStr">
        <is>
          <t>Vendôme</t>
        </is>
      </c>
      <c r="C9" s="7" t="inlineStr">
        <is>
          <t>ZMD</t>
        </is>
      </c>
      <c r="D9" s="7" t="inlineStr">
        <is>
          <t>Nord</t>
        </is>
      </c>
      <c r="E9" s="7" t="n">
        <v>38</v>
      </c>
      <c r="F9" s="7" t="n">
        <v>38</v>
      </c>
      <c r="G9" s="7" t="n">
        <v>34</v>
      </c>
      <c r="H9" s="7" t="n">
        <v>0.67</v>
      </c>
      <c r="I9" s="12">
        <f>MAX($F9/'Synthèse'!$B$14,$G9/'Synthèse'!$B$15)+$H9/'Synthèse'!$B$16</f>
        <v/>
      </c>
      <c r="J9" s="12">
        <f>$I9*(1+'Synthèse'!$B$8)</f>
        <v/>
      </c>
      <c r="K9" s="13">
        <f>(MAX($F9,$G9)+$H9)*(1+'Synthèse'!$B$8)/'Synthèse'!$B$17</f>
        <v/>
      </c>
      <c r="L9" s="13">
        <f>$K9/'Synthèse'!$B$9</f>
        <v/>
      </c>
      <c r="M9" s="29">
        <f>'Synthèse'!$B$12</f>
        <v/>
      </c>
      <c r="N9" s="30" t="n">
        <v>9</v>
      </c>
      <c r="O9" s="10" t="n">
        <v>5</v>
      </c>
      <c r="P9" s="12">
        <f>$O9/$M9</f>
        <v/>
      </c>
      <c r="Q9" s="12">
        <f>$L9+$P9</f>
        <v/>
      </c>
      <c r="R9" s="12">
        <f>$Q9/'Synthèse'!$B$30</f>
        <v/>
      </c>
    </row>
    <row r="10">
      <c r="A10" s="28" t="inlineStr">
        <is>
          <t>Épiais</t>
        </is>
      </c>
      <c r="B10" s="28" t="inlineStr">
        <is>
          <t>Épiais</t>
        </is>
      </c>
      <c r="C10" s="7" t="inlineStr">
        <is>
          <t>RIP</t>
        </is>
      </c>
      <c r="D10" s="7" t="inlineStr">
        <is>
          <t>Nord</t>
        </is>
      </c>
      <c r="E10" s="7" t="n">
        <v>24</v>
      </c>
      <c r="F10" s="7" t="n">
        <v>48</v>
      </c>
      <c r="G10" s="7" t="n">
        <v>50</v>
      </c>
      <c r="H10" s="7" t="n">
        <v>0.67</v>
      </c>
      <c r="I10" s="12">
        <f>MAX($F10/'Synthèse'!$B$14,$G10/'Synthèse'!$B$15)+$H10/'Synthèse'!$B$16</f>
        <v/>
      </c>
      <c r="J10" s="12">
        <f>$I10*(1+'Synthèse'!$B$8)</f>
        <v/>
      </c>
      <c r="K10" s="13">
        <f>(MAX($F10,$G10)+$H10)*(1+'Synthèse'!$B$8)/'Synthèse'!$B$17</f>
        <v/>
      </c>
      <c r="L10" s="13">
        <f>$K10/'Synthèse'!$B$9</f>
        <v/>
      </c>
      <c r="M10" s="29">
        <f>'Synthèse'!$B$13</f>
        <v/>
      </c>
      <c r="N10" s="30" t="n">
        <v>6</v>
      </c>
      <c r="O10" s="10" t="n">
        <v>4</v>
      </c>
      <c r="P10" s="12">
        <f>$O10/$M10</f>
        <v/>
      </c>
      <c r="Q10" s="12">
        <f>$L10+$P10</f>
        <v/>
      </c>
      <c r="R10" s="12">
        <f>$Q10/'Synthèse'!$B$30</f>
        <v/>
      </c>
    </row>
    <row r="11">
      <c r="A11" s="28" t="inlineStr">
        <is>
          <t>Montoire-sur-le-Loir</t>
        </is>
      </c>
      <c r="B11" s="28" t="inlineStr">
        <is>
          <t>Montoire</t>
        </is>
      </c>
      <c r="C11" s="7" t="inlineStr">
        <is>
          <t>RIP</t>
        </is>
      </c>
      <c r="D11" s="7" t="inlineStr">
        <is>
          <t>Nord</t>
        </is>
      </c>
      <c r="E11" s="7" t="n">
        <v>50</v>
      </c>
      <c r="F11" s="7" t="n">
        <v>37</v>
      </c>
      <c r="G11" s="7" t="n">
        <v>48</v>
      </c>
      <c r="H11" s="7" t="n">
        <v>0.33</v>
      </c>
      <c r="I11" s="12">
        <f>MAX($F11/'Synthèse'!$B$14,$G11/'Synthèse'!$B$15)+$H11/'Synthèse'!$B$16</f>
        <v/>
      </c>
      <c r="J11" s="12">
        <f>$I11*(1+'Synthèse'!$B$8)</f>
        <v/>
      </c>
      <c r="K11" s="13">
        <f>(MAX($F11,$G11)+$H11)*(1+'Synthèse'!$B$8)/'Synthèse'!$B$17</f>
        <v/>
      </c>
      <c r="L11" s="13">
        <f>$K11/'Synthèse'!$B$9</f>
        <v/>
      </c>
      <c r="M11" s="29">
        <f>'Synthèse'!$B$13</f>
        <v/>
      </c>
      <c r="N11" s="30" t="n">
        <v>9</v>
      </c>
      <c r="O11" s="10" t="n">
        <v>5</v>
      </c>
      <c r="P11" s="12">
        <f>$O11/$M11</f>
        <v/>
      </c>
      <c r="Q11" s="12">
        <f>$L11+$P11</f>
        <v/>
      </c>
      <c r="R11" s="12">
        <f>$Q11/'Synthèse'!$B$30</f>
        <v/>
      </c>
    </row>
    <row r="12">
      <c r="A12" s="28" t="inlineStr">
        <is>
          <t>Cormenon</t>
        </is>
      </c>
      <c r="B12" s="28" t="inlineStr">
        <is>
          <t>Cormenon</t>
        </is>
      </c>
      <c r="C12" s="7" t="inlineStr">
        <is>
          <t>RIP</t>
        </is>
      </c>
      <c r="D12" s="7" t="inlineStr">
        <is>
          <t>Nord</t>
        </is>
      </c>
      <c r="E12" s="7" t="n">
        <v>61</v>
      </c>
      <c r="F12" s="7" t="n">
        <v>18</v>
      </c>
      <c r="G12" s="7" t="n">
        <v>19</v>
      </c>
      <c r="H12" s="7" t="n">
        <v>0.33</v>
      </c>
      <c r="I12" s="12">
        <f>MAX($F12/'Synthèse'!$B$14,$G12/'Synthèse'!$B$15)+$H12/'Synthèse'!$B$16</f>
        <v/>
      </c>
      <c r="J12" s="12">
        <f>$I12*(1+'Synthèse'!$B$8)</f>
        <v/>
      </c>
      <c r="K12" s="13">
        <f>(MAX($F12,$G12)+$H12)*(1+'Synthèse'!$B$8)/'Synthèse'!$B$17</f>
        <v/>
      </c>
      <c r="L12" s="13">
        <f>$K12/'Synthèse'!$B$9</f>
        <v/>
      </c>
      <c r="M12" s="29">
        <f>'Synthèse'!$B$13</f>
        <v/>
      </c>
      <c r="N12" s="30" t="n">
        <v>6</v>
      </c>
      <c r="O12" s="10" t="n">
        <v>4</v>
      </c>
      <c r="P12" s="12">
        <f>$O12/$M12</f>
        <v/>
      </c>
      <c r="Q12" s="12">
        <f>$L12+$P12</f>
        <v/>
      </c>
      <c r="R12" s="12">
        <f>$Q12/'Synthèse'!$B$30</f>
        <v/>
      </c>
    </row>
    <row r="13">
      <c r="A13" s="28" t="inlineStr">
        <is>
          <t>Crouy-sur-Cosson</t>
        </is>
      </c>
      <c r="B13" s="28" t="inlineStr">
        <is>
          <t>Crouy-sur-Cosson</t>
        </is>
      </c>
      <c r="C13" s="7" t="inlineStr">
        <is>
          <t>RIP</t>
        </is>
      </c>
      <c r="D13" s="7" t="inlineStr">
        <is>
          <t>Est</t>
        </is>
      </c>
      <c r="E13" s="7" t="n">
        <v>29</v>
      </c>
      <c r="F13" s="7" t="n">
        <v>52</v>
      </c>
      <c r="G13" s="7" t="n">
        <v>48</v>
      </c>
      <c r="H13" s="7" t="n">
        <v>0.33</v>
      </c>
      <c r="I13" s="12">
        <f>MAX($F13/'Synthèse'!$B$14,$G13/'Synthèse'!$B$15)+$H13/'Synthèse'!$B$16</f>
        <v/>
      </c>
      <c r="J13" s="12">
        <f>$I13*(1+'Synthèse'!$B$8)</f>
        <v/>
      </c>
      <c r="K13" s="13">
        <f>(MAX($F13,$G13)+$H13)*(1+'Synthèse'!$B$8)/'Synthèse'!$B$17</f>
        <v/>
      </c>
      <c r="L13" s="13">
        <f>$K13/'Synthèse'!$B$9</f>
        <v/>
      </c>
      <c r="M13" s="29">
        <f>'Synthèse'!$B$13</f>
        <v/>
      </c>
      <c r="N13" s="30" t="n">
        <v>9</v>
      </c>
      <c r="O13" s="10" t="n">
        <v>5</v>
      </c>
      <c r="P13" s="12">
        <f>$O13/$M13</f>
        <v/>
      </c>
      <c r="Q13" s="12">
        <f>$L13+$P13</f>
        <v/>
      </c>
      <c r="R13" s="12">
        <f>$Q13/'Synthèse'!$B$30</f>
        <v/>
      </c>
    </row>
    <row r="14">
      <c r="A14" s="28" t="inlineStr">
        <is>
          <t>Vouzon</t>
        </is>
      </c>
      <c r="B14" s="28" t="inlineStr">
        <is>
          <t>Vouzon</t>
        </is>
      </c>
      <c r="C14" s="7" t="inlineStr">
        <is>
          <t>RIP</t>
        </is>
      </c>
      <c r="D14" s="7" t="inlineStr">
        <is>
          <t>Est</t>
        </is>
      </c>
      <c r="E14" s="7" t="n">
        <v>65</v>
      </c>
      <c r="F14" s="7" t="n">
        <v>31</v>
      </c>
      <c r="G14" s="7" t="n">
        <v>33</v>
      </c>
      <c r="H14" s="7" t="n">
        <v>0.33</v>
      </c>
      <c r="I14" s="12">
        <f>MAX($F14/'Synthèse'!$B$14,$G14/'Synthèse'!$B$15)+$H14/'Synthèse'!$B$16</f>
        <v/>
      </c>
      <c r="J14" s="12">
        <f>$I14*(1+'Synthèse'!$B$8)</f>
        <v/>
      </c>
      <c r="K14" s="13">
        <f>(MAX($F14,$G14)+$H14)*(1+'Synthèse'!$B$8)/'Synthèse'!$B$17</f>
        <v/>
      </c>
      <c r="L14" s="13">
        <f>$K14/'Synthèse'!$B$9</f>
        <v/>
      </c>
      <c r="M14" s="29">
        <f>'Synthèse'!$B$13</f>
        <v/>
      </c>
      <c r="N14" s="30" t="n">
        <v>9</v>
      </c>
      <c r="O14" s="10" t="n">
        <v>5</v>
      </c>
      <c r="P14" s="12">
        <f>$O14/$M14</f>
        <v/>
      </c>
      <c r="Q14" s="12">
        <f>$L14+$P14</f>
        <v/>
      </c>
      <c r="R14" s="12">
        <f>$Q14/'Synthèse'!$B$30</f>
        <v/>
      </c>
    </row>
    <row r="15">
      <c r="A15" s="28" t="inlineStr">
        <is>
          <t>Mur-de-Sologne</t>
        </is>
      </c>
      <c r="B15" s="28" t="inlineStr">
        <is>
          <t>Mur-de-Sologne</t>
        </is>
      </c>
      <c r="C15" s="7" t="inlineStr">
        <is>
          <t>RIP</t>
        </is>
      </c>
      <c r="D15" s="7" t="inlineStr">
        <is>
          <t>Sologne Sud</t>
        </is>
      </c>
      <c r="E15" s="7" t="n">
        <v>38</v>
      </c>
      <c r="F15" s="7" t="n">
        <v>49</v>
      </c>
      <c r="G15" s="7" t="n">
        <v>36</v>
      </c>
      <c r="H15" s="7" t="n">
        <v>0.33</v>
      </c>
      <c r="I15" s="12">
        <f>MAX($F15/'Synthèse'!$B$14,$G15/'Synthèse'!$B$15)+$H15/'Synthèse'!$B$16</f>
        <v/>
      </c>
      <c r="J15" s="12">
        <f>$I15*(1+'Synthèse'!$B$8)</f>
        <v/>
      </c>
      <c r="K15" s="13">
        <f>(MAX($F15,$G15)+$H15)*(1+'Synthèse'!$B$8)/'Synthèse'!$B$17</f>
        <v/>
      </c>
      <c r="L15" s="13">
        <f>$K15/'Synthèse'!$B$9</f>
        <v/>
      </c>
      <c r="M15" s="29">
        <f>'Synthèse'!$B$13</f>
        <v/>
      </c>
      <c r="N15" s="30" t="n">
        <v>9</v>
      </c>
      <c r="O15" s="10" t="n">
        <v>5</v>
      </c>
      <c r="P15" s="12">
        <f>$O15/$M15</f>
        <v/>
      </c>
      <c r="Q15" s="12">
        <f>$L15+$P15</f>
        <v/>
      </c>
      <c r="R15" s="12">
        <f>$Q15/'Synthèse'!$B$30</f>
        <v/>
      </c>
    </row>
    <row r="16">
      <c r="A16" s="28" t="inlineStr">
        <is>
          <t>Romorantin-Lanthenay</t>
        </is>
      </c>
      <c r="B16" s="28" t="inlineStr">
        <is>
          <t>Romorantin</t>
        </is>
      </c>
      <c r="C16" s="7" t="inlineStr">
        <is>
          <t>ZMD</t>
        </is>
      </c>
      <c r="D16" s="7" t="inlineStr">
        <is>
          <t>Sologne Sud</t>
        </is>
      </c>
      <c r="E16" s="7" t="n">
        <v>50</v>
      </c>
      <c r="F16" s="7" t="n">
        <v>44</v>
      </c>
      <c r="G16" s="7" t="n">
        <v>31</v>
      </c>
      <c r="H16" s="7" t="n">
        <v>0.33</v>
      </c>
      <c r="I16" s="12">
        <f>MAX($F16/'Synthèse'!$B$14,$G16/'Synthèse'!$B$15)+$H16/'Synthèse'!$B$16</f>
        <v/>
      </c>
      <c r="J16" s="12">
        <f>$I16*(1+'Synthèse'!$B$8)</f>
        <v/>
      </c>
      <c r="K16" s="13">
        <f>(MAX($F16,$G16)+$H16)*(1+'Synthèse'!$B$8)/'Synthèse'!$B$17</f>
        <v/>
      </c>
      <c r="L16" s="13">
        <f>$K16/'Synthèse'!$B$9</f>
        <v/>
      </c>
      <c r="M16" s="29">
        <f>'Synthèse'!$B$12</f>
        <v/>
      </c>
      <c r="N16" s="30" t="n">
        <v>9</v>
      </c>
      <c r="O16" s="10" t="n">
        <v>5</v>
      </c>
      <c r="P16" s="12">
        <f>$O16/$M16</f>
        <v/>
      </c>
      <c r="Q16" s="12">
        <f>$L16+$P16</f>
        <v/>
      </c>
      <c r="R16" s="12">
        <f>$Q16/'Synthèse'!$B$30</f>
        <v/>
      </c>
    </row>
    <row r="17">
      <c r="A17" s="28" t="inlineStr">
        <is>
          <t>La Ferté-Imbault</t>
        </is>
      </c>
      <c r="B17" s="28" t="inlineStr">
        <is>
          <t>La Ferté-Imbault</t>
        </is>
      </c>
      <c r="C17" s="7" t="inlineStr">
        <is>
          <t>RIP</t>
        </is>
      </c>
      <c r="D17" s="7" t="inlineStr">
        <is>
          <t>Sologne Sud</t>
        </is>
      </c>
      <c r="E17" s="7" t="n">
        <v>66</v>
      </c>
      <c r="F17" s="7" t="n">
        <v>17</v>
      </c>
      <c r="G17" s="7" t="n">
        <v>13</v>
      </c>
      <c r="H17" s="7" t="n">
        <v>0.67</v>
      </c>
      <c r="I17" s="12">
        <f>MAX($F17/'Synthèse'!$B$14,$G17/'Synthèse'!$B$15)+$H17/'Synthèse'!$B$16</f>
        <v/>
      </c>
      <c r="J17" s="12">
        <f>$I17*(1+'Synthèse'!$B$8)</f>
        <v/>
      </c>
      <c r="K17" s="13">
        <f>(MAX($F17,$G17)+$H17)*(1+'Synthèse'!$B$8)/'Synthèse'!$B$17</f>
        <v/>
      </c>
      <c r="L17" s="13">
        <f>$K17/'Synthèse'!$B$9</f>
        <v/>
      </c>
      <c r="M17" s="29">
        <f>'Synthèse'!$B$13</f>
        <v/>
      </c>
      <c r="N17" s="30" t="n">
        <v>6</v>
      </c>
      <c r="O17" s="10" t="n">
        <v>4</v>
      </c>
      <c r="P17" s="12">
        <f>$O17/$M17</f>
        <v/>
      </c>
      <c r="Q17" s="12">
        <f>$L17+$P17</f>
        <v/>
      </c>
      <c r="R17" s="12">
        <f>$Q17/'Synthèse'!$B$30</f>
        <v/>
      </c>
    </row>
    <row r="18">
      <c r="A18" s="20" t="inlineStr">
        <is>
          <t>TOTAL DÉPARTEMENT 41</t>
        </is>
      </c>
      <c r="B18" s="31" t="n"/>
      <c r="C18" s="31" t="n"/>
      <c r="D18" s="31" t="n"/>
      <c r="E18" s="22" t="n"/>
      <c r="F18" s="32">
        <f>SUM(F6:F17)</f>
        <v/>
      </c>
      <c r="G18" s="32">
        <f>SUM(G6:G17)</f>
        <v/>
      </c>
      <c r="H18" s="32">
        <f>SUM(H6:H17)</f>
        <v/>
      </c>
      <c r="I18" s="22" t="n"/>
      <c r="J18" s="22" t="n"/>
      <c r="K18" s="32">
        <f>SUM(K6:K17)</f>
        <v/>
      </c>
      <c r="L18" s="32">
        <f>SUM(L6:L17)</f>
        <v/>
      </c>
      <c r="M18" s="22" t="n"/>
      <c r="N18" s="32">
        <f>SUM(N6:N17)</f>
        <v/>
      </c>
      <c r="O18" s="32">
        <f>SUM(O6:O17)</f>
        <v/>
      </c>
      <c r="P18" s="33">
        <f>SUM(P6:P17)</f>
        <v/>
      </c>
      <c r="Q18" s="33">
        <f>SUM(Q6:Q17)</f>
        <v/>
      </c>
      <c r="R18" s="33">
        <f>SUM(R6:R17)</f>
        <v/>
      </c>
    </row>
    <row r="20">
      <c r="A20" s="34" t="inlineStr">
        <is>
          <t>Légende :</t>
        </is>
      </c>
    </row>
    <row r="21">
      <c r="A21" s="2" t="inlineStr">
        <is>
          <t>Cellules jaunes / texte bleu = saisie utilisateur    ·    texte vert = repris de l'onglet « Grille SAV »    ·    texte noir = formule</t>
        </is>
      </c>
    </row>
    <row r="22">
      <c r="A22" s="2" t="inlineStr">
        <is>
          <t>« Pointe /jour » retient le mois le plus chargé entre octobre et mars, secteur par secteur, et y ajoute le B2B. Le fichier source, lui, ne dimensionne que sur mars — d'où une sous-estimation sur le 41, où octobre est le mois haut (705 interventions contre 656).</t>
        </is>
      </c>
    </row>
  </sheetData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5" customWidth="1" min="4" max="4"/>
    <col width="13" customWidth="1" min="5" max="5"/>
    <col width="15" customWidth="1" min="6" max="6"/>
    <col width="16" customWidth="1" min="7" max="7"/>
    <col width="30" customWidth="1" min="8" max="8"/>
  </cols>
  <sheetData>
    <row r="1">
      <c r="A1" s="1" t="inlineStr">
        <is>
          <t>MOTEUR DE DISPONIBILITÉ — RÉSERVATION SAV &amp; BASCULE PROD</t>
        </is>
      </c>
    </row>
    <row r="2">
      <c r="A2" s="2" t="inlineStr">
        <is>
          <t>C'est le mécanisme qui libère de la disponibilité sans embaucher : on réserve large pour le SAV, et tout créneau non vendu redevient de la PROD à J-1.</t>
        </is>
      </c>
    </row>
    <row r="4">
      <c r="A4" s="3" t="inlineStr">
        <is>
          <t>RÈGLES D'EXPLOITATION</t>
        </is>
      </c>
    </row>
    <row r="5" ht="26" customHeight="1">
      <c r="A5" s="27" t="inlineStr">
        <is>
          <t>N°</t>
        </is>
      </c>
      <c r="B5" s="27" t="inlineStr">
        <is>
          <t>Moment</t>
        </is>
      </c>
      <c r="C5" s="27" t="inlineStr">
        <is>
          <t>Règle</t>
        </is>
      </c>
      <c r="D5" s="27" t="inlineStr">
        <is>
          <t>Effet</t>
        </is>
      </c>
    </row>
    <row r="6" ht="30" customHeight="1">
      <c r="A6" s="35" t="inlineStr">
        <is>
          <t>R1</t>
        </is>
      </c>
      <c r="B6" s="7" t="inlineStr">
        <is>
          <t>Permanent</t>
        </is>
      </c>
      <c r="C6" s="28" t="inlineStr">
        <is>
          <t>La tournée est figée : technicien × jour × secteur ne change jamais (voir onglet « Grille SAV »).</t>
        </is>
      </c>
      <c r="D6" s="8" t="inlineStr">
        <is>
          <t>Distances maîtrisées, techniciens sur des secteurs qu'ils connaissent.</t>
        </is>
      </c>
    </row>
    <row r="7" ht="30" customHeight="1">
      <c r="A7" s="40" t="inlineStr">
        <is>
          <t>R2</t>
        </is>
      </c>
      <c r="B7" s="42" t="inlineStr">
        <is>
          <t>Permanent</t>
        </is>
      </c>
      <c r="C7" s="43" t="inlineStr">
        <is>
          <t>Chaque secteur est visité 3 fois/semaine, rythme Lundi-Mercredi-Vendredi ou Mardi-Jeudi-Samedi.</t>
        </is>
      </c>
      <c r="D7" s="16" t="inlineStr">
        <is>
          <t>Quel que soit le jour d'appel, il existe un passage à J+1 ou J+2.</t>
        </is>
      </c>
    </row>
    <row r="8" ht="30" customHeight="1">
      <c r="A8" s="35" t="inlineStr">
        <is>
          <t>R3</t>
        </is>
      </c>
      <c r="B8" s="7" t="inlineStr">
        <is>
          <t>J-7 à J-5</t>
        </is>
      </c>
      <c r="C8" s="28" t="inlineStr">
        <is>
          <t>La PROD se pose uniquement sur les créneaux non réservés au SAV, dans le carnet J+5 à J+7.</t>
        </is>
      </c>
      <c r="D8" s="8" t="inlineStr">
        <is>
          <t>Le client PROD obtient bien un RDV à J+5/J+6/J+7.</t>
        </is>
      </c>
    </row>
    <row r="9" ht="30" customHeight="1">
      <c r="A9" s="35" t="inlineStr">
        <is>
          <t>R4</t>
        </is>
      </c>
      <c r="B9" s="7" t="inlineStr">
        <is>
          <t>J-2, 18 h</t>
        </is>
      </c>
      <c r="C9" s="28" t="inlineStr">
        <is>
          <t>Ouverture à la prise de RDV SAV des créneaux réservés du jour J.</t>
        </is>
      </c>
      <c r="D9" s="8" t="inlineStr">
        <is>
          <t>Le client SAV qui appelle voit de la dispo à J+1 et J+2.</t>
        </is>
      </c>
    </row>
    <row r="10" ht="30" customHeight="1">
      <c r="A10" s="40" t="inlineStr">
        <is>
          <t>R5</t>
        </is>
      </c>
      <c r="B10" s="42" t="inlineStr">
        <is>
          <t>J-1, 18 h</t>
        </is>
      </c>
      <c r="C10" s="43" t="inlineStr">
        <is>
          <t>BASCULE : tout créneau SAV encore libre pour le lendemain est réaffecté à une intervention PROD du même secteur, puisée dans le carnet J+5/J+7.</t>
        </is>
      </c>
      <c r="D10" s="16" t="inlineStr">
        <is>
          <t>Aucun créneau perdu. C'est ce qui rend la réservation SAV quasi gratuite.</t>
        </is>
      </c>
    </row>
    <row r="11" ht="30" customHeight="1">
      <c r="A11" s="35" t="inlineStr">
        <is>
          <t>R6</t>
        </is>
      </c>
      <c r="B11" s="7" t="inlineStr">
        <is>
          <t>J-1, 18 h</t>
        </is>
      </c>
      <c r="C11" s="28" t="inlineStr">
        <is>
          <t>La bascule n'est possible que si le carnet PROD du secteur contient au moins 2 interventions en attente.</t>
        </is>
      </c>
      <c r="D11" s="8" t="inlineStr">
        <is>
          <t>Sur les petits secteurs (Cormenon, La Ferté-Imbault), maintenir un stock PROD tampon.</t>
        </is>
      </c>
    </row>
    <row r="12" ht="30" customHeight="1">
      <c r="A12" s="35" t="inlineStr">
        <is>
          <t>R7</t>
        </is>
      </c>
      <c r="B12" s="7" t="inlineStr">
        <is>
          <t>Jour J</t>
        </is>
      </c>
      <c r="C12" s="28" t="inlineStr">
        <is>
          <t>Un SAV urgent arrivé après la bascule prend la place d'une PROD du jour, qui repart en J+5.</t>
        </is>
      </c>
      <c r="D12" s="8" t="inlineStr">
        <is>
          <t>La PROD absorbe l'aléa, jamais le SAV — c'est elle qui a le délai le plus long.</t>
        </is>
      </c>
    </row>
    <row r="13" ht="30" customHeight="1">
      <c r="A13" s="35" t="inlineStr">
        <is>
          <t>R8</t>
        </is>
      </c>
      <c r="B13" s="7" t="inlineStr">
        <is>
          <t>Hebdo</t>
        </is>
      </c>
      <c r="C13" s="28" t="inlineStr">
        <is>
          <t>Si le taux de remplissage SAV d'un secteur dépasse 4 semaines de suite le seuil de l'onglet Synthèse, augmenter la réservation de ce secteur.</t>
        </is>
      </c>
      <c r="D13" s="8" t="inlineStr">
        <is>
          <t>Le curseur de réservation suit la demande réelle.</t>
        </is>
      </c>
    </row>
    <row r="15">
      <c r="A15" s="3" t="inlineStr">
        <is>
          <t>TABLEAU DE BORD QUOTIDIEN — À REMPLIR CHAQUE SOIR AVANT LA BASCULE</t>
        </is>
      </c>
    </row>
    <row r="16">
      <c r="A16" s="2" t="inlineStr">
        <is>
          <t>Colonne D (jaune) : nombre de RDV SAV réellement pris pour le lendemain. Le reste se calcule.</t>
        </is>
      </c>
    </row>
    <row r="17" ht="44" customHeight="1">
      <c r="A17" s="27" t="inlineStr">
        <is>
          <t>Secteur visité demain</t>
        </is>
      </c>
      <c r="B17" s="27" t="inlineStr">
        <is>
          <t>Créneaux du jour</t>
        </is>
      </c>
      <c r="C17" s="27" t="inlineStr">
        <is>
          <t>dont réservés SAV</t>
        </is>
      </c>
      <c r="D17" s="27" t="inlineStr">
        <is>
          <t>RDV SAV pris (à saisir)</t>
        </is>
      </c>
      <c r="E17" s="27" t="inlineStr">
        <is>
          <t>Créneaux SAV libres</t>
        </is>
      </c>
      <c r="F17" s="27" t="inlineStr">
        <is>
          <t>PROD à injecter (bascule)</t>
        </is>
      </c>
      <c r="G17" s="27" t="inlineStr">
        <is>
          <t>Stock PROD requis dans le secteur</t>
        </is>
      </c>
      <c r="H17" s="27" t="inlineStr">
        <is>
          <t>Alerte</t>
        </is>
      </c>
    </row>
    <row r="18">
      <c r="A18" s="28" t="inlineStr">
        <is>
          <t>Blois</t>
        </is>
      </c>
      <c r="B18" s="7" t="n">
        <v>7</v>
      </c>
      <c r="C18" s="7" t="n">
        <v>4</v>
      </c>
      <c r="D18" s="23" t="n">
        <v>0</v>
      </c>
      <c r="E18" s="7">
        <f>MAX(0,$C18-$D18)</f>
        <v/>
      </c>
      <c r="F18" s="7">
        <f>ROUND($E18*'Synthèse'!$B$9/'Synthèse'!$B$13,0)</f>
        <v/>
      </c>
      <c r="G18" s="7">
        <f>MAX(2,$F18)</f>
        <v/>
      </c>
      <c r="H18" s="8">
        <f>IF($D18&gt;$C18,"Débordement SAV : basculer une PROD du jour",IF($F18=0,"Journée pleine en SAV","Injecter "&amp;TEXT($F18,"0")&amp;" PROD du carnet J+5/J+7"))</f>
        <v/>
      </c>
    </row>
    <row r="19">
      <c r="A19" s="28" t="inlineStr">
        <is>
          <t>Pontlevoy</t>
        </is>
      </c>
      <c r="B19" s="7" t="n">
        <v>5</v>
      </c>
      <c r="C19" s="7" t="n">
        <v>3</v>
      </c>
      <c r="D19" s="23" t="n">
        <v>0</v>
      </c>
      <c r="E19" s="7">
        <f>MAX(0,$C19-$D19)</f>
        <v/>
      </c>
      <c r="F19" s="7">
        <f>ROUND($E19*'Synthèse'!$B$9/'Synthèse'!$B$13,0)</f>
        <v/>
      </c>
      <c r="G19" s="7">
        <f>MAX(2,$F19)</f>
        <v/>
      </c>
      <c r="H19" s="8">
        <f>IF($D19&gt;$C19,"Débordement SAV : basculer une PROD du jour",IF($F19=0,"Journée pleine en SAV","Injecter "&amp;TEXT($F19,"0")&amp;" PROD du carnet J+5/J+7"))</f>
        <v/>
      </c>
    </row>
    <row r="20">
      <c r="A20" s="28" t="inlineStr">
        <is>
          <t>Vendôme</t>
        </is>
      </c>
      <c r="B20" s="7" t="n">
        <v>5</v>
      </c>
      <c r="C20" s="7" t="n">
        <v>3</v>
      </c>
      <c r="D20" s="23" t="n">
        <v>0</v>
      </c>
      <c r="E20" s="7">
        <f>MAX(0,$C20-$D20)</f>
        <v/>
      </c>
      <c r="F20" s="7">
        <f>ROUND($E20*'Synthèse'!$B$9/'Synthèse'!$B$13,0)</f>
        <v/>
      </c>
      <c r="G20" s="7">
        <f>MAX(2,$F20)</f>
        <v/>
      </c>
      <c r="H20" s="8">
        <f>IF($D20&gt;$C20,"Débordement SAV : basculer une PROD du jour",IF($F20=0,"Journée pleine en SAV","Injecter "&amp;TEXT($F20,"0")&amp;" PROD du carnet J+5/J+7"))</f>
        <v/>
      </c>
    </row>
    <row r="21">
      <c r="A21" s="28" t="inlineStr">
        <is>
          <t>Épiais</t>
        </is>
      </c>
      <c r="B21" s="7" t="n">
        <v>5</v>
      </c>
      <c r="C21" s="7" t="n">
        <v>2</v>
      </c>
      <c r="D21" s="23" t="n">
        <v>0</v>
      </c>
      <c r="E21" s="7">
        <f>MAX(0,$C21-$D21)</f>
        <v/>
      </c>
      <c r="F21" s="7">
        <f>ROUND($E21*'Synthèse'!$B$9/'Synthèse'!$B$13,0)</f>
        <v/>
      </c>
      <c r="G21" s="7">
        <f>MAX(2,$F21)</f>
        <v/>
      </c>
      <c r="H21" s="8">
        <f>IF($D21&gt;$C21,"Débordement SAV : basculer une PROD du jour",IF($F21=0,"Journée pleine en SAV","Injecter "&amp;TEXT($F21,"0")&amp;" PROD du carnet J+5/J+7"))</f>
        <v/>
      </c>
    </row>
    <row r="22">
      <c r="A22" s="28" t="inlineStr">
        <is>
          <t>Mur-de-Sologne</t>
        </is>
      </c>
      <c r="B22" s="7" t="n">
        <v>5</v>
      </c>
      <c r="C22" s="7" t="n">
        <v>3</v>
      </c>
      <c r="D22" s="23" t="n">
        <v>0</v>
      </c>
      <c r="E22" s="7">
        <f>MAX(0,$C22-$D22)</f>
        <v/>
      </c>
      <c r="F22" s="7">
        <f>ROUND($E22*'Synthèse'!$B$9/'Synthèse'!$B$13,0)</f>
        <v/>
      </c>
      <c r="G22" s="7">
        <f>MAX(2,$F22)</f>
        <v/>
      </c>
      <c r="H22" s="8">
        <f>IF($D22&gt;$C22,"Débordement SAV : basculer une PROD du jour",IF($F22=0,"Journée pleine en SAV","Injecter "&amp;TEXT($F22,"0")&amp;" PROD du carnet J+5/J+7"))</f>
        <v/>
      </c>
    </row>
    <row r="23">
      <c r="A23" s="28" t="inlineStr">
        <is>
          <t>Crouy-sur-Cosson</t>
        </is>
      </c>
      <c r="B23" s="7" t="n">
        <v>5</v>
      </c>
      <c r="C23" s="7" t="n">
        <v>3</v>
      </c>
      <c r="D23" s="23" t="n">
        <v>0</v>
      </c>
      <c r="E23" s="7">
        <f>MAX(0,$C23-$D23)</f>
        <v/>
      </c>
      <c r="F23" s="7">
        <f>ROUND($E23*'Synthèse'!$B$9/'Synthèse'!$B$13,0)</f>
        <v/>
      </c>
      <c r="G23" s="7">
        <f>MAX(2,$F23)</f>
        <v/>
      </c>
      <c r="H23" s="8">
        <f>IF($D23&gt;$C23,"Débordement SAV : basculer une PROD du jour",IF($F23=0,"Journée pleine en SAV","Injecter "&amp;TEXT($F23,"0")&amp;" PROD du carnet J+5/J+7"))</f>
        <v/>
      </c>
    </row>
    <row r="24">
      <c r="A24" s="28" t="inlineStr">
        <is>
          <t>Valencisse</t>
        </is>
      </c>
      <c r="B24" s="7" t="n">
        <v>5</v>
      </c>
      <c r="C24" s="7" t="n">
        <v>3</v>
      </c>
      <c r="D24" s="23" t="n">
        <v>0</v>
      </c>
      <c r="E24" s="7">
        <f>MAX(0,$C24-$D24)</f>
        <v/>
      </c>
      <c r="F24" s="7">
        <f>ROUND($E24*'Synthèse'!$B$9/'Synthèse'!$B$13,0)</f>
        <v/>
      </c>
      <c r="G24" s="7">
        <f>MAX(2,$F24)</f>
        <v/>
      </c>
      <c r="H24" s="8">
        <f>IF($D24&gt;$C24,"Débordement SAV : basculer une PROD du jour",IF($F24=0,"Journée pleine en SAV","Injecter "&amp;TEXT($F24,"0")&amp;" PROD du carnet J+5/J+7"))</f>
        <v/>
      </c>
    </row>
    <row r="25">
      <c r="A25" s="28" t="inlineStr">
        <is>
          <t>Montoire-sur-le-Loir</t>
        </is>
      </c>
      <c r="B25" s="7" t="n">
        <v>5</v>
      </c>
      <c r="C25" s="7" t="n">
        <v>3</v>
      </c>
      <c r="D25" s="23" t="n">
        <v>0</v>
      </c>
      <c r="E25" s="7">
        <f>MAX(0,$C25-$D25)</f>
        <v/>
      </c>
      <c r="F25" s="7">
        <f>ROUND($E25*'Synthèse'!$B$9/'Synthèse'!$B$13,0)</f>
        <v/>
      </c>
      <c r="G25" s="7">
        <f>MAX(2,$F25)</f>
        <v/>
      </c>
      <c r="H25" s="8">
        <f>IF($D25&gt;$C25,"Débordement SAV : basculer une PROD du jour",IF($F25=0,"Journée pleine en SAV","Injecter "&amp;TEXT($F25,"0")&amp;" PROD du carnet J+5/J+7"))</f>
        <v/>
      </c>
    </row>
    <row r="26">
      <c r="A26" s="28" t="inlineStr">
        <is>
          <t>Cormenon</t>
        </is>
      </c>
      <c r="B26" s="7" t="n">
        <v>5</v>
      </c>
      <c r="C26" s="7" t="n">
        <v>2</v>
      </c>
      <c r="D26" s="23" t="n">
        <v>0</v>
      </c>
      <c r="E26" s="7">
        <f>MAX(0,$C26-$D26)</f>
        <v/>
      </c>
      <c r="F26" s="7">
        <f>ROUND($E26*'Synthèse'!$B$9/'Synthèse'!$B$13,0)</f>
        <v/>
      </c>
      <c r="G26" s="7">
        <f>MAX(2,$F26)</f>
        <v/>
      </c>
      <c r="H26" s="8">
        <f>IF($D26&gt;$C26,"Débordement SAV : basculer une PROD du jour",IF($F26=0,"Journée pleine en SAV","Injecter "&amp;TEXT($F26,"0")&amp;" PROD du carnet J+5/J+7"))</f>
        <v/>
      </c>
    </row>
    <row r="27">
      <c r="A27" s="28" t="inlineStr">
        <is>
          <t>Romorantin-Lanthenay</t>
        </is>
      </c>
      <c r="B27" s="7" t="n">
        <v>5</v>
      </c>
      <c r="C27" s="7" t="n">
        <v>3</v>
      </c>
      <c r="D27" s="23" t="n">
        <v>0</v>
      </c>
      <c r="E27" s="7">
        <f>MAX(0,$C27-$D27)</f>
        <v/>
      </c>
      <c r="F27" s="7">
        <f>ROUND($E27*'Synthèse'!$B$9/'Synthèse'!$B$13,0)</f>
        <v/>
      </c>
      <c r="G27" s="7">
        <f>MAX(2,$F27)</f>
        <v/>
      </c>
      <c r="H27" s="8">
        <f>IF($D27&gt;$C27,"Débordement SAV : basculer une PROD du jour",IF($F27=0,"Journée pleine en SAV","Injecter "&amp;TEXT($F27,"0")&amp;" PROD du carnet J+5/J+7"))</f>
        <v/>
      </c>
    </row>
    <row r="28">
      <c r="A28" s="28" t="inlineStr">
        <is>
          <t>La Ferté-Imbault</t>
        </is>
      </c>
      <c r="B28" s="7" t="n">
        <v>5</v>
      </c>
      <c r="C28" s="7" t="n">
        <v>2</v>
      </c>
      <c r="D28" s="23" t="n">
        <v>0</v>
      </c>
      <c r="E28" s="7">
        <f>MAX(0,$C28-$D28)</f>
        <v/>
      </c>
      <c r="F28" s="7">
        <f>ROUND($E28*'Synthèse'!$B$9/'Synthèse'!$B$13,0)</f>
        <v/>
      </c>
      <c r="G28" s="7">
        <f>MAX(2,$F28)</f>
        <v/>
      </c>
      <c r="H28" s="8">
        <f>IF($D28&gt;$C28,"Débordement SAV : basculer une PROD du jour",IF($F28=0,"Journée pleine en SAV","Injecter "&amp;TEXT($F28,"0")&amp;" PROD du carnet J+5/J+7"))</f>
        <v/>
      </c>
    </row>
    <row r="29">
      <c r="A29" s="28" t="inlineStr">
        <is>
          <t>Vouzon</t>
        </is>
      </c>
      <c r="B29" s="7" t="n">
        <v>5</v>
      </c>
      <c r="C29" s="7" t="n">
        <v>3</v>
      </c>
      <c r="D29" s="23" t="n">
        <v>0</v>
      </c>
      <c r="E29" s="7">
        <f>MAX(0,$C29-$D29)</f>
        <v/>
      </c>
      <c r="F29" s="7">
        <f>ROUND($E29*'Synthèse'!$B$9/'Synthèse'!$B$13,0)</f>
        <v/>
      </c>
      <c r="G29" s="7">
        <f>MAX(2,$F29)</f>
        <v/>
      </c>
      <c r="H29" s="8">
        <f>IF($D29&gt;$C29,"Débordement SAV : basculer une PROD du jour",IF($F29=0,"Journée pleine en SAV","Injecter "&amp;TEXT($F29,"0")&amp;" PROD du carnet J+5/J+7"))</f>
        <v/>
      </c>
    </row>
    <row r="30">
      <c r="A30" s="27" t="inlineStr">
        <is>
          <t>TOTAL JOUR</t>
        </is>
      </c>
      <c r="B30" s="27">
        <f>SUM(B18:B29)</f>
        <v/>
      </c>
      <c r="C30" s="27">
        <f>SUM(C18:C29)</f>
        <v/>
      </c>
      <c r="D30" s="27">
        <f>SUM(D18:D29)</f>
        <v/>
      </c>
      <c r="E30" s="27">
        <f>SUM(E18:E29)</f>
        <v/>
      </c>
      <c r="F30" s="27">
        <f>SUM(F18:F29)</f>
        <v/>
      </c>
      <c r="G30" s="27" t="n"/>
      <c r="H30" s="27">
        <f>"Taux de remplissage SAV du jour : "&amp;TEXT(IFERROR($D30/$C30,0),"0%")</f>
        <v/>
      </c>
    </row>
    <row r="32">
      <c r="A32" s="2" t="inlineStr">
        <is>
          <t>Point d'équilibre : la grille sert 142 interventions PROD en direct, alors que la demande PROD +10 % est de 185/semaine. Les 43 manquantes viennent de la bascule R5.</t>
        </is>
      </c>
    </row>
    <row r="33">
      <c r="A33" s="2" t="inlineStr">
        <is>
          <t>Il faut donc qu'environ 60 créneaux SAV restent libres chaque semaine, soit un taux de remplissage SAV inférieur à 60 %. Au-delà, la PROD décroche du délai J+5/J+7 : c'est le seuil d'alerte à surveiller.</t>
        </is>
      </c>
    </row>
  </sheetData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5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COHÉRENCE GÉOGRAPHIQUE — DISTANCES ROUTIÈRES ESTIMÉES (km)</t>
        </is>
      </c>
    </row>
    <row r="2">
      <c r="A2" s="2" t="inlineStr">
        <is>
          <t>Estimation = distance à vol d'oiseau × 1,25, majorée de 8 km entre les deux rives de la Loire (ponts de Blois, Chaumont, Muides, Beaugency). À confirmer par votre outil de tournées.</t>
        </is>
      </c>
    </row>
    <row r="4" ht="52" customHeight="1">
      <c r="A4" s="27" t="inlineStr"/>
      <c r="B4" s="44" t="inlineStr">
        <is>
          <t>Blois</t>
        </is>
      </c>
      <c r="C4" s="44" t="inlineStr">
        <is>
          <t>Valencisse</t>
        </is>
      </c>
      <c r="D4" s="44" t="inlineStr">
        <is>
          <t>Pontlevoy</t>
        </is>
      </c>
      <c r="E4" s="44" t="inlineStr">
        <is>
          <t>Vendôme</t>
        </is>
      </c>
      <c r="F4" s="44" t="inlineStr">
        <is>
          <t>Épiais</t>
        </is>
      </c>
      <c r="G4" s="44" t="inlineStr">
        <is>
          <t>Montoire-sur-le-Loir</t>
        </is>
      </c>
      <c r="H4" s="44" t="inlineStr">
        <is>
          <t>Cormenon</t>
        </is>
      </c>
      <c r="I4" s="44" t="inlineStr">
        <is>
          <t>Crouy-sur-Cosson</t>
        </is>
      </c>
      <c r="J4" s="44" t="inlineStr">
        <is>
          <t>Vouzon</t>
        </is>
      </c>
      <c r="K4" s="44" t="inlineStr">
        <is>
          <t>Mur-de-Sologne</t>
        </is>
      </c>
      <c r="L4" s="44" t="inlineStr">
        <is>
          <t>Romorantin-Lanthenay</t>
        </is>
      </c>
      <c r="M4" s="44" t="inlineStr">
        <is>
          <t>La Ferté-Imbault</t>
        </is>
      </c>
    </row>
    <row r="5">
      <c r="A5" s="45" t="inlineStr">
        <is>
          <t>Blois</t>
        </is>
      </c>
      <c r="B5" s="7" t="inlineStr">
        <is>
          <t>—</t>
        </is>
      </c>
      <c r="C5" s="42" t="n">
        <v>11</v>
      </c>
      <c r="D5" s="42" t="n">
        <v>28</v>
      </c>
      <c r="E5" s="46" t="n">
        <v>38</v>
      </c>
      <c r="F5" s="42" t="n">
        <v>24</v>
      </c>
      <c r="G5" s="46" t="n">
        <v>50</v>
      </c>
      <c r="H5" s="47" t="n">
        <v>61</v>
      </c>
      <c r="I5" s="42" t="n">
        <v>29</v>
      </c>
      <c r="J5" s="47" t="n">
        <v>65</v>
      </c>
      <c r="K5" s="46" t="n">
        <v>38</v>
      </c>
      <c r="L5" s="46" t="n">
        <v>50</v>
      </c>
      <c r="M5" s="47" t="n">
        <v>66</v>
      </c>
    </row>
    <row r="6">
      <c r="A6" s="45" t="inlineStr">
        <is>
          <t>Valencisse</t>
        </is>
      </c>
      <c r="B6" s="42" t="n">
        <v>11</v>
      </c>
      <c r="C6" s="7" t="inlineStr">
        <is>
          <t>—</t>
        </is>
      </c>
      <c r="D6" s="46" t="n">
        <v>35</v>
      </c>
      <c r="E6" s="46" t="n">
        <v>32</v>
      </c>
      <c r="F6" s="42" t="n">
        <v>28</v>
      </c>
      <c r="G6" s="46" t="n">
        <v>40</v>
      </c>
      <c r="H6" s="47" t="n">
        <v>55</v>
      </c>
      <c r="I6" s="46" t="n">
        <v>47</v>
      </c>
      <c r="J6" s="47" t="n">
        <v>84</v>
      </c>
      <c r="K6" s="47" t="n">
        <v>55</v>
      </c>
      <c r="L6" s="47" t="n">
        <v>67</v>
      </c>
      <c r="M6" s="47" t="n">
        <v>84</v>
      </c>
    </row>
    <row r="7">
      <c r="A7" s="45" t="inlineStr">
        <is>
          <t>Pontlevoy</t>
        </is>
      </c>
      <c r="B7" s="42" t="n">
        <v>28</v>
      </c>
      <c r="C7" s="46" t="n">
        <v>35</v>
      </c>
      <c r="D7" s="7" t="inlineStr">
        <is>
          <t>—</t>
        </is>
      </c>
      <c r="E7" s="47" t="n">
        <v>66</v>
      </c>
      <c r="F7" s="47" t="n">
        <v>60</v>
      </c>
      <c r="G7" s="47" t="n">
        <v>70</v>
      </c>
      <c r="H7" s="47" t="n">
        <v>90</v>
      </c>
      <c r="I7" s="47" t="n">
        <v>52</v>
      </c>
      <c r="J7" s="47" t="n">
        <v>81</v>
      </c>
      <c r="K7" s="46" t="n">
        <v>34</v>
      </c>
      <c r="L7" s="46" t="n">
        <v>46</v>
      </c>
      <c r="M7" s="47" t="n">
        <v>68</v>
      </c>
    </row>
    <row r="8">
      <c r="A8" s="45" t="inlineStr">
        <is>
          <t>Vendôme</t>
        </is>
      </c>
      <c r="B8" s="46" t="n">
        <v>38</v>
      </c>
      <c r="C8" s="46" t="n">
        <v>32</v>
      </c>
      <c r="D8" s="47" t="n">
        <v>66</v>
      </c>
      <c r="E8" s="7" t="inlineStr">
        <is>
          <t>—</t>
        </is>
      </c>
      <c r="F8" s="42" t="n">
        <v>29</v>
      </c>
      <c r="G8" s="42" t="n">
        <v>20</v>
      </c>
      <c r="H8" s="42" t="n">
        <v>24</v>
      </c>
      <c r="I8" s="47" t="n">
        <v>61</v>
      </c>
      <c r="J8" s="47" t="n">
        <v>99</v>
      </c>
      <c r="K8" s="47" t="n">
        <v>85</v>
      </c>
      <c r="L8" s="47" t="n">
        <v>96</v>
      </c>
      <c r="M8" s="47" t="n">
        <v>110</v>
      </c>
    </row>
    <row r="9">
      <c r="A9" s="45" t="inlineStr">
        <is>
          <t>Épiais</t>
        </is>
      </c>
      <c r="B9" s="42" t="n">
        <v>24</v>
      </c>
      <c r="C9" s="42" t="n">
        <v>28</v>
      </c>
      <c r="D9" s="47" t="n">
        <v>60</v>
      </c>
      <c r="E9" s="42" t="n">
        <v>29</v>
      </c>
      <c r="F9" s="7" t="inlineStr">
        <is>
          <t>—</t>
        </is>
      </c>
      <c r="G9" s="46" t="n">
        <v>48</v>
      </c>
      <c r="H9" s="46" t="n">
        <v>46</v>
      </c>
      <c r="I9" s="46" t="n">
        <v>33</v>
      </c>
      <c r="J9" s="47" t="n">
        <v>70</v>
      </c>
      <c r="K9" s="47" t="n">
        <v>65</v>
      </c>
      <c r="L9" s="47" t="n">
        <v>74</v>
      </c>
      <c r="M9" s="47" t="n">
        <v>84</v>
      </c>
    </row>
    <row r="10">
      <c r="A10" s="45" t="inlineStr">
        <is>
          <t>Montoire-sur-le-Loir</t>
        </is>
      </c>
      <c r="B10" s="46" t="n">
        <v>50</v>
      </c>
      <c r="C10" s="46" t="n">
        <v>40</v>
      </c>
      <c r="D10" s="47" t="n">
        <v>70</v>
      </c>
      <c r="E10" s="42" t="n">
        <v>20</v>
      </c>
      <c r="F10" s="46" t="n">
        <v>48</v>
      </c>
      <c r="G10" s="7" t="inlineStr">
        <is>
          <t>—</t>
        </is>
      </c>
      <c r="H10" s="42" t="n">
        <v>30</v>
      </c>
      <c r="I10" s="47" t="n">
        <v>78</v>
      </c>
      <c r="J10" s="47" t="n">
        <v>117</v>
      </c>
      <c r="K10" s="47" t="n">
        <v>95</v>
      </c>
      <c r="L10" s="47" t="n">
        <v>107</v>
      </c>
      <c r="M10" s="47" t="n">
        <v>123</v>
      </c>
    </row>
    <row r="11">
      <c r="A11" s="45" t="inlineStr">
        <is>
          <t>Cormenon</t>
        </is>
      </c>
      <c r="B11" s="47" t="n">
        <v>61</v>
      </c>
      <c r="C11" s="47" t="n">
        <v>55</v>
      </c>
      <c r="D11" s="47" t="n">
        <v>90</v>
      </c>
      <c r="E11" s="42" t="n">
        <v>24</v>
      </c>
      <c r="F11" s="46" t="n">
        <v>46</v>
      </c>
      <c r="G11" s="42" t="n">
        <v>30</v>
      </c>
      <c r="H11" s="7" t="inlineStr">
        <is>
          <t>—</t>
        </is>
      </c>
      <c r="I11" s="47" t="n">
        <v>78</v>
      </c>
      <c r="J11" s="47" t="n">
        <v>113</v>
      </c>
      <c r="K11" s="47" t="n">
        <v>107</v>
      </c>
      <c r="L11" s="47" t="n">
        <v>118</v>
      </c>
      <c r="M11" s="47" t="n">
        <v>129</v>
      </c>
    </row>
    <row r="12">
      <c r="A12" s="45" t="inlineStr">
        <is>
          <t>Crouy-sur-Cosson</t>
        </is>
      </c>
      <c r="B12" s="42" t="n">
        <v>29</v>
      </c>
      <c r="C12" s="46" t="n">
        <v>47</v>
      </c>
      <c r="D12" s="47" t="n">
        <v>52</v>
      </c>
      <c r="E12" s="47" t="n">
        <v>61</v>
      </c>
      <c r="F12" s="46" t="n">
        <v>33</v>
      </c>
      <c r="G12" s="47" t="n">
        <v>78</v>
      </c>
      <c r="H12" s="47" t="n">
        <v>78</v>
      </c>
      <c r="I12" s="7" t="inlineStr">
        <is>
          <t>—</t>
        </is>
      </c>
      <c r="J12" s="46" t="n">
        <v>38</v>
      </c>
      <c r="K12" s="46" t="n">
        <v>41</v>
      </c>
      <c r="L12" s="46" t="n">
        <v>47</v>
      </c>
      <c r="M12" s="47" t="n">
        <v>52</v>
      </c>
    </row>
    <row r="13">
      <c r="A13" s="45" t="inlineStr">
        <is>
          <t>Vouzon</t>
        </is>
      </c>
      <c r="B13" s="47" t="n">
        <v>65</v>
      </c>
      <c r="C13" s="47" t="n">
        <v>84</v>
      </c>
      <c r="D13" s="47" t="n">
        <v>81</v>
      </c>
      <c r="E13" s="47" t="n">
        <v>99</v>
      </c>
      <c r="F13" s="47" t="n">
        <v>70</v>
      </c>
      <c r="G13" s="47" t="n">
        <v>117</v>
      </c>
      <c r="H13" s="47" t="n">
        <v>113</v>
      </c>
      <c r="I13" s="46" t="n">
        <v>38</v>
      </c>
      <c r="J13" s="7" t="inlineStr">
        <is>
          <t>—</t>
        </is>
      </c>
      <c r="K13" s="47" t="n">
        <v>54</v>
      </c>
      <c r="L13" s="46" t="n">
        <v>49</v>
      </c>
      <c r="M13" s="46" t="n">
        <v>37</v>
      </c>
    </row>
    <row r="14">
      <c r="A14" s="45" t="inlineStr">
        <is>
          <t>Mur-de-Sologne</t>
        </is>
      </c>
      <c r="B14" s="46" t="n">
        <v>38</v>
      </c>
      <c r="C14" s="47" t="n">
        <v>55</v>
      </c>
      <c r="D14" s="46" t="n">
        <v>34</v>
      </c>
      <c r="E14" s="47" t="n">
        <v>85</v>
      </c>
      <c r="F14" s="47" t="n">
        <v>65</v>
      </c>
      <c r="G14" s="47" t="n">
        <v>95</v>
      </c>
      <c r="H14" s="47" t="n">
        <v>107</v>
      </c>
      <c r="I14" s="46" t="n">
        <v>41</v>
      </c>
      <c r="J14" s="47" t="n">
        <v>54</v>
      </c>
      <c r="K14" s="7" t="inlineStr">
        <is>
          <t>—</t>
        </is>
      </c>
      <c r="L14" s="42" t="n">
        <v>13</v>
      </c>
      <c r="M14" s="46" t="n">
        <v>34</v>
      </c>
    </row>
    <row r="15">
      <c r="A15" s="45" t="inlineStr">
        <is>
          <t>Romorantin-Lanthenay</t>
        </is>
      </c>
      <c r="B15" s="46" t="n">
        <v>50</v>
      </c>
      <c r="C15" s="47" t="n">
        <v>67</v>
      </c>
      <c r="D15" s="46" t="n">
        <v>46</v>
      </c>
      <c r="E15" s="47" t="n">
        <v>96</v>
      </c>
      <c r="F15" s="47" t="n">
        <v>74</v>
      </c>
      <c r="G15" s="47" t="n">
        <v>107</v>
      </c>
      <c r="H15" s="47" t="n">
        <v>118</v>
      </c>
      <c r="I15" s="46" t="n">
        <v>47</v>
      </c>
      <c r="J15" s="46" t="n">
        <v>49</v>
      </c>
      <c r="K15" s="42" t="n">
        <v>13</v>
      </c>
      <c r="L15" s="7" t="inlineStr">
        <is>
          <t>—</t>
        </is>
      </c>
      <c r="M15" s="42" t="n">
        <v>22</v>
      </c>
    </row>
    <row r="16">
      <c r="A16" s="45" t="inlineStr">
        <is>
          <t>La Ferté-Imbault</t>
        </is>
      </c>
      <c r="B16" s="47" t="n">
        <v>66</v>
      </c>
      <c r="C16" s="47" t="n">
        <v>84</v>
      </c>
      <c r="D16" s="47" t="n">
        <v>68</v>
      </c>
      <c r="E16" s="47" t="n">
        <v>110</v>
      </c>
      <c r="F16" s="47" t="n">
        <v>84</v>
      </c>
      <c r="G16" s="47" t="n">
        <v>123</v>
      </c>
      <c r="H16" s="47" t="n">
        <v>129</v>
      </c>
      <c r="I16" s="47" t="n">
        <v>52</v>
      </c>
      <c r="J16" s="46" t="n">
        <v>37</v>
      </c>
      <c r="K16" s="46" t="n">
        <v>34</v>
      </c>
      <c r="L16" s="42" t="n">
        <v>22</v>
      </c>
      <c r="M16" s="7" t="inlineStr">
        <is>
          <t>—</t>
        </is>
      </c>
    </row>
    <row r="18">
      <c r="A18" s="2" t="inlineStr">
        <is>
          <t>Vert ≤ 30 km : enchaînement de deux demi-journées acceptable   ·   Orange 31-50 km : à éviter dans la même journée   ·   Rouge &gt; 50 km : incohérent</t>
        </is>
      </c>
    </row>
    <row r="20">
      <c r="A20" s="3" t="inlineStr">
        <is>
          <t>CE QUE CELA CHANGE PAR RAPPORT À LA GRILLE ACTUELLE (capture d'écran)</t>
        </is>
      </c>
    </row>
    <row r="21" ht="24" customHeight="1">
      <c r="A21" s="27" t="inlineStr">
        <is>
          <t>Point</t>
        </is>
      </c>
      <c r="B21" s="27" t="inlineStr">
        <is>
          <t>Grille actuelle</t>
        </is>
      </c>
      <c r="C21" s="27" t="inlineStr">
        <is>
          <t>Grille proposée</t>
        </is>
      </c>
    </row>
    <row r="22" ht="32" customHeight="1">
      <c r="A22" s="21" t="inlineStr">
        <is>
          <t>Cluster T5</t>
        </is>
      </c>
      <c r="B22" s="48" t="inlineStr">
        <is>
          <t>Crouy · Épiais · Vouzon · Cormenon · Blois — soit Vouzon↔Cormenon 113 km dans un même secteur.</t>
        </is>
      </c>
      <c r="C22" s="43" t="inlineStr">
        <is>
          <t>Cormenon repart au Nord (Vendômois/Perche). T6 ne garde que Crouy et Vouzon, distants de 38 km.</t>
        </is>
      </c>
    </row>
    <row r="23" ht="32" customHeight="1">
      <c r="A23" s="21" t="inlineStr">
        <is>
          <t>Jeudi T5</t>
        </is>
      </c>
      <c r="B23" s="48" t="inlineStr">
        <is>
          <t>Épiais matin → Cormenon après-midi : 46 km entre les deux vacations.</t>
        </is>
      </c>
      <c r="C23" s="43" t="inlineStr">
        <is>
          <t>Montoire matin → Cormenon après-midi : 30 km, et les deux sont dans le même cluster Nord.</t>
        </is>
      </c>
    </row>
    <row r="24" ht="32" customHeight="1">
      <c r="A24" s="21" t="inlineStr">
        <is>
          <t>Enchaînements</t>
        </is>
      </c>
      <c r="B24" s="48" t="inlineStr">
        <is>
          <t>Jusqu'à 46 km entre matin et après-midi.</t>
        </is>
      </c>
      <c r="C24" s="43" t="inlineStr">
        <is>
          <t>Maximum 30 km : Vendôme→Épiais 29, Montoire→Cormenon 30, Romorantin→La Ferté 22.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2026-07-28T19:54:19Z</dcterms:created>
  <dcterms:modified xsi:type="dcterms:W3CDTF">2026-07-28T20:19:18Z</dcterms:modified>
</cp:coreProperties>
</file>
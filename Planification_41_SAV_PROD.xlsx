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Grille hebdo" sheetId="2" state="visible" r:id="rId2"/>
    <sheet name="Contrôle secteurs" sheetId="3" state="visible" r:id="rId3"/>
    <sheet name="Demande 41" sheetId="4" state="visible" r:id="rId4"/>
    <sheet name="Moteur dispo" sheetId="5" state="visible" r:id="rId5"/>
    <sheet name="Distances" sheetId="6" state="visible" r:id="rId6"/>
    <sheet name="Effecti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864"/>
      <sz val="8"/>
    </font>
    <font>
      <name val="Arial"/>
      <b val="1"/>
      <color rgb="00404040"/>
      <sz val="8"/>
    </font>
    <font>
      <name val="Arial"/>
      <b val="1"/>
      <color rgb="00843C0C"/>
      <sz val="8"/>
    </font>
    <font>
      <name val="Arial"/>
      <color rgb="00808080"/>
      <sz val="8"/>
    </font>
    <font>
      <name val="Arial"/>
      <color rgb="000080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AEFF5"/>
      </patternFill>
    </fill>
    <fill>
      <patternFill patternType="solid">
        <fgColor rgb="00FBE5D6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6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7" fillId="4" borderId="1" pivotButton="0" quotePrefix="0" xfId="0"/>
    <xf numFmtId="1" fontId="7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5" borderId="1" pivotButton="0" quotePrefix="0" xfId="0"/>
    <xf numFmtId="1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bottom" textRotation="60" wrapText="1"/>
    </xf>
    <xf numFmtId="0" fontId="7" fillId="1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PLANIFICATION SAV / PROD — DÉPARTEMENT 41 (LOIR-ET-CHER)</t>
        </is>
      </c>
    </row>
    <row r="2">
      <c r="A2" s="2" t="inlineStr">
        <is>
          <t>11 techniciens · 8 créneaux par technicien et par jour · objectif 436 créneaux ouverts par semaine</t>
        </is>
      </c>
    </row>
    <row r="3">
      <c r="A3" s="2" t="inlineStr">
        <is>
          <t>Volumes PROD : suivi_volumes_PROD_72.xlsx (MAJ 28/07/2026) — 12 secteurs du 41, mois le plus chargé secteur par secteur, B2B inclus, majoré de 10 %.</t>
        </is>
      </c>
    </row>
    <row r="4">
      <c r="A4" s="2" t="inlineStr">
        <is>
          <t>Volume SAV : Planning_HEBDO_SAV_Departement_41.xlsx — 142 interventions par semaine, relevées secteur par secteur.</t>
        </is>
      </c>
    </row>
    <row r="5"/>
    <row r="6">
      <c r="A6" s="3" t="inlineStr">
        <is>
          <t>1 · PARAMÈTRES  (cellules jaunes = à ajuster)</t>
        </is>
      </c>
    </row>
    <row r="7" ht="32" customHeight="1">
      <c r="A7" s="4" t="inlineStr">
        <is>
          <t>Paramètre</t>
        </is>
      </c>
      <c r="B7" s="4" t="inlineStr">
        <is>
          <t>Valeur</t>
        </is>
      </c>
      <c r="C7" s="4" t="inlineStr">
        <is>
          <t>Unité</t>
        </is>
      </c>
      <c r="D7" s="4" t="inlineStr">
        <is>
          <t>Commentaire</t>
        </is>
      </c>
    </row>
    <row r="8">
      <c r="A8" s="5" t="inlineStr">
        <is>
          <t>Créneaux par technicien et par jour</t>
        </is>
      </c>
      <c r="B8" s="6" t="n">
        <v>8</v>
      </c>
      <c r="C8" s="7" t="inlineStr">
        <is>
          <t>créneaux</t>
        </is>
      </c>
      <c r="D8" s="8" t="inlineStr">
        <is>
          <t>Un créneau est un créneau, quelle que soit la nature de l'intervention</t>
        </is>
      </c>
    </row>
    <row r="9">
      <c r="A9" s="5" t="inlineStr">
        <is>
          <t>dont le matin</t>
        </is>
      </c>
      <c r="B9" s="6" t="n">
        <v>4</v>
      </c>
      <c r="C9" s="7" t="inlineStr">
        <is>
          <t>créneaux</t>
        </is>
      </c>
      <c r="D9" s="8" t="inlineStr"/>
    </row>
    <row r="10">
      <c r="A10" s="5" t="inlineStr">
        <is>
          <t>dont l'après-midi</t>
        </is>
      </c>
      <c r="B10" s="6" t="n">
        <v>4</v>
      </c>
      <c r="C10" s="7" t="inlineStr">
        <is>
          <t>créneaux</t>
        </is>
      </c>
      <c r="D10" s="8" t="inlineStr"/>
    </row>
    <row r="11">
      <c r="A11" s="5" t="inlineStr">
        <is>
          <t>Objectif d'occupation</t>
        </is>
      </c>
      <c r="B11" s="9" t="n">
        <v>0.75</v>
      </c>
      <c r="C11" s="7" t="inlineStr">
        <is>
          <t>%</t>
        </is>
      </c>
      <c r="D11" s="8" t="inlineStr">
        <is>
          <t>On n'occupe jamais plus de 75 % des créneaux : le quart restant EST la disponibilité</t>
        </is>
      </c>
    </row>
    <row r="12">
      <c r="A12" s="5" t="inlineStr">
        <is>
          <t>Marge de flexibilité sur les volumes PROD</t>
        </is>
      </c>
      <c r="B12" s="9" t="n">
        <v>0.1</v>
      </c>
      <c r="C12" s="7" t="inlineStr">
        <is>
          <t>%</t>
        </is>
      </c>
      <c r="D12" s="8" t="inlineStr">
        <is>
          <t>Demande client</t>
        </is>
      </c>
    </row>
    <row r="13">
      <c r="A13" s="5" t="inlineStr">
        <is>
          <t>Nombre de techniciens</t>
        </is>
      </c>
      <c r="B13" s="6" t="n">
        <v>11</v>
      </c>
      <c r="C13" s="7" t="inlineStr">
        <is>
          <t>tech.</t>
        </is>
      </c>
      <c r="D13" s="8" t="inlineStr">
        <is>
          <t>Effectif actuel</t>
        </is>
      </c>
    </row>
    <row r="14">
      <c r="A14" s="5" t="inlineStr">
        <is>
          <t>dont travaillant 6 jours</t>
        </is>
      </c>
      <c r="B14" s="6" t="n">
        <v>5</v>
      </c>
      <c r="C14" s="7" t="inlineStr">
        <is>
          <t>tech.</t>
        </is>
      </c>
      <c r="D14" s="8" t="inlineStr">
        <is>
          <t>Ils portent le rythme Mardi-Jeudi-Samedi</t>
        </is>
      </c>
    </row>
    <row r="15">
      <c r="A15" s="5" t="inlineStr">
        <is>
          <t>dont travaillant 5 jours</t>
        </is>
      </c>
      <c r="B15" s="10">
        <f>$B$13-$B$14</f>
        <v/>
      </c>
      <c r="C15" s="7" t="inlineStr">
        <is>
          <t>tech.</t>
        </is>
      </c>
      <c r="D15" s="8" t="inlineStr"/>
    </row>
    <row r="16">
      <c r="A16" s="5" t="inlineStr">
        <is>
          <t>Jours-technicien par semaine</t>
        </is>
      </c>
      <c r="B16" s="10">
        <f>$B$14*6+$B$15*5</f>
        <v/>
      </c>
      <c r="C16" s="7" t="inlineStr">
        <is>
          <t>j-tech</t>
        </is>
      </c>
      <c r="D16" s="8" t="inlineStr"/>
    </row>
    <row r="17">
      <c r="A17" s="5" t="inlineStr">
        <is>
          <t>Capacité totale</t>
        </is>
      </c>
      <c r="B17" s="11">
        <f>$B$16*$B$8</f>
        <v/>
      </c>
      <c r="C17" s="7" t="inlineStr">
        <is>
          <t>créneaux/sem.</t>
        </is>
      </c>
      <c r="D17" s="8" t="inlineStr">
        <is>
          <t>jours-technicien × créneaux par jour</t>
        </is>
      </c>
    </row>
    <row r="18"/>
    <row r="19">
      <c r="A19" s="3" t="inlineStr">
        <is>
          <t>2 · BILAN HEBDOMADAIRE</t>
        </is>
      </c>
    </row>
    <row r="20" ht="32" customHeight="1">
      <c r="A20" s="4" t="inlineStr">
        <is>
          <t>Poste</t>
        </is>
      </c>
      <c r="B20" s="4" t="inlineStr">
        <is>
          <t>Interventions / sem.</t>
        </is>
      </c>
      <c r="C20" s="4" t="inlineStr">
        <is>
          <t>Créneaux / sem.</t>
        </is>
      </c>
      <c r="D20" s="4" t="inlineStr">
        <is>
          <t>Lecture</t>
        </is>
      </c>
    </row>
    <row r="21">
      <c r="A21" s="5" t="inlineStr">
        <is>
          <t>Demande PROD (+10 %)</t>
        </is>
      </c>
      <c r="B21" s="10">
        <f>'Demande 41'!$H$17</f>
        <v/>
      </c>
      <c r="C21" s="10">
        <f>'Demande 41'!$H$17/$B$11</f>
        <v/>
      </c>
      <c r="D21" s="8" t="inlineStr">
        <is>
          <t>Volumes du fichier source, mois le plus chargé par secteur, B2B inclus</t>
        </is>
      </c>
    </row>
    <row r="22">
      <c r="A22" s="5" t="inlineStr">
        <is>
          <t>Demande SAV</t>
        </is>
      </c>
      <c r="B22" s="10">
        <f>'Demande 41'!$I$17</f>
        <v/>
      </c>
      <c r="C22" s="10">
        <f>'Demande 41'!$I$17/$B$11</f>
        <v/>
      </c>
      <c r="D22" s="8" t="inlineStr">
        <is>
          <t>Relevée sur votre planning hebdomadaire SAV</t>
        </is>
      </c>
    </row>
    <row r="23">
      <c r="A23" s="12" t="inlineStr">
        <is>
          <t>TOTAL à couvrir</t>
        </is>
      </c>
      <c r="B23" s="13">
        <f>$B$21+$B$22</f>
        <v/>
      </c>
      <c r="C23" s="13">
        <f>$C$21+$C$22</f>
        <v/>
      </c>
      <c r="D23" s="14" t="inlineStr">
        <is>
          <t>Créneaux à ouvrir pour ne pas dépasser 75 % d'occupation</t>
        </is>
      </c>
    </row>
    <row r="24">
      <c r="A24" s="5" t="inlineStr">
        <is>
          <t>Créneaux ouverts par la grille</t>
        </is>
      </c>
      <c r="B24" s="10" t="inlineStr"/>
      <c r="C24" s="10">
        <f>'Grille hebdo'!$R$17</f>
        <v/>
      </c>
      <c r="D24" s="8" t="inlineStr">
        <is>
          <t>Voir l'onglet « Grille hebdo »</t>
        </is>
      </c>
    </row>
    <row r="25">
      <c r="A25" s="15" t="inlineStr">
        <is>
          <t>Réserve</t>
        </is>
      </c>
      <c r="B25" s="16" t="inlineStr"/>
      <c r="C25" s="16">
        <f>$C$24-$C$23</f>
        <v/>
      </c>
      <c r="D25" s="17" t="inlineStr">
        <is>
          <t>En jours-technicien : voir le verdict ci-dessous</t>
        </is>
      </c>
    </row>
    <row r="26" ht="30" customHeight="1">
      <c r="A26" s="18" t="inlineStr">
        <is>
          <t>VERDICT</t>
        </is>
      </c>
      <c r="B26" s="19">
        <f>IF($C$24&gt;=$C$23,"TENABLE À "&amp;TEXT($B$13,"0")&amp;" TECHNICIENS — réserve de "&amp;TEXT($C$24-$C$23,"0")&amp;" créneaux, soit "&amp;TEXT(($C$24-$C$23)/$B$8,"0.0")&amp;" jours-technicien","INSUFFISANT — il manque "&amp;TEXT($C$23-$C$24,"0")&amp;" créneaux")</f>
        <v/>
      </c>
    </row>
    <row r="27"/>
    <row r="28">
      <c r="A28" s="3" t="inlineStr">
        <is>
          <t>3 · PRINCIPE : LE SAV COMMANDE, LA PROD SUIT</t>
        </is>
      </c>
    </row>
    <row r="29" ht="32" customHeight="1">
      <c r="A29" s="20" t="inlineStr">
        <is>
          <t>• Le SAV impose OÙ et QUAND il faut être. Chaque secteur est visité 3 fois par semaine sur un rythme Lundi-Mercredi-Vendredi ou Mardi-Jeudi-Samedi. Sur une semaine de 6 jours, ce sont les DEUX SEULES combinaisons de 3 jours qui garantissent un créneau à J+1 ou J+2 quel que soit le jour d'appel — et elles sont exactement complémentaires.</t>
        </is>
      </c>
    </row>
    <row r="30" ht="32" customHeight="1">
      <c r="A30" s="20" t="inlineStr">
        <is>
          <t>• Deux passages par semaine ne suffisent jamais, quelle que soit la combinaison choisie. C'est démontré : aucune paire de jours ne tient le J+1/J+2.</t>
        </is>
      </c>
    </row>
    <row r="31" ht="32" customHeight="1">
      <c r="A31" s="20" t="inlineStr">
        <is>
          <t>• La PROD se place ensuite dans tout ce qui reste. Elle dispose de 5 à 7 jours de visibilité, donc elle peut attendre : c'est elle qui absorbe les contraintes, jamais le SAV.</t>
        </is>
      </c>
    </row>
    <row r="32" ht="32" customHeight="1">
      <c r="A32" s="20" t="inlineStr">
        <is>
          <t>• À J-1 18 h, tout créneau SAV non vendu pour le lendemain est rempli par une intervention PROD du même secteur, puisée dans le carnet J+5/J+7. Aucun créneau n'est perdu.</t>
        </is>
      </c>
    </row>
    <row r="33" ht="32" customHeight="1">
      <c r="A33" s="20" t="inlineStr">
        <is>
          <t>• Les 5 techniciens à 6 jours portent obligatoirement les secteurs du rythme Mardi-Jeudi-Samedi : sans leur samedi, aucun créneau n'existe à J+1/J+2 pour un appel du jeudi ou du vendredi.</t>
        </is>
      </c>
    </row>
  </sheetData>
  <mergeCells count="6">
    <mergeCell ref="A31:D31"/>
    <mergeCell ref="A30:D30"/>
    <mergeCell ref="B26:D26"/>
    <mergeCell ref="A29:D29"/>
    <mergeCell ref="A33:D33"/>
    <mergeCell ref="A32:D3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GRILLE HEBDOMADAIRE — 11 TECHNICIENS · 8 CRÉNEAUX PAR JOUR</t>
        </is>
      </c>
    </row>
    <row r="2">
      <c r="A2" s="2" t="inlineStr">
        <is>
          <t>Chaque case est coupée en deux : matin (4 créneaux) au-dessus, après-midi (4 créneaux) en dessous. « SAV n » = créneaux réservés, ouverts à la prise de RDV J+1/J+2. « PROD n » = interventions posées depuis le carnet J+5/J+7.</t>
        </is>
      </c>
    </row>
    <row r="3">
      <c r="A3" s="2" t="inlineStr">
        <is>
          <t>La tournée est figée : technicien × jour × secteur ne change jamais. Seul le partage SAV / PROD à l'intérieur de la journée évolue.</t>
        </is>
      </c>
    </row>
    <row r="4"/>
    <row r="5" ht="34" customHeight="1">
      <c r="A5" s="4" t="inlineStr">
        <is>
          <t>Tech.</t>
        </is>
      </c>
      <c r="B5" s="4" t="inlineStr">
        <is>
          <t>Rôle</t>
        </is>
      </c>
      <c r="C5" s="4" t="inlineStr">
        <is>
          <t>Jours</t>
        </is>
      </c>
      <c r="D5" s="4" t="inlineStr">
        <is>
          <t>Lundi
matin</t>
        </is>
      </c>
      <c r="E5" s="4" t="inlineStr">
        <is>
          <t>Lundi
après-midi</t>
        </is>
      </c>
      <c r="F5" s="4" t="inlineStr">
        <is>
          <t>Mardi
matin</t>
        </is>
      </c>
      <c r="G5" s="4" t="inlineStr">
        <is>
          <t>Mardi
après-midi</t>
        </is>
      </c>
      <c r="H5" s="4" t="inlineStr">
        <is>
          <t>Mercredi
matin</t>
        </is>
      </c>
      <c r="I5" s="4" t="inlineStr">
        <is>
          <t>Mercredi
après-midi</t>
        </is>
      </c>
      <c r="J5" s="4" t="inlineStr">
        <is>
          <t>Jeudi
matin</t>
        </is>
      </c>
      <c r="K5" s="4" t="inlineStr">
        <is>
          <t>Jeudi
après-midi</t>
        </is>
      </c>
      <c r="L5" s="4" t="inlineStr">
        <is>
          <t>Vendredi
matin</t>
        </is>
      </c>
      <c r="M5" s="4" t="inlineStr">
        <is>
          <t>Vendredi
après-midi</t>
        </is>
      </c>
      <c r="N5" s="4" t="inlineStr">
        <is>
          <t>Samedi
matin</t>
        </is>
      </c>
      <c r="O5" s="4" t="inlineStr">
        <is>
          <t>Samedi
après-midi</t>
        </is>
      </c>
      <c r="P5" s="4" t="inlineStr">
        <is>
          <t>SAV
/sem.</t>
        </is>
      </c>
      <c r="Q5" s="4" t="inlineStr">
        <is>
          <t>PROD
/sem.</t>
        </is>
      </c>
      <c r="R5" s="4" t="inlineStr">
        <is>
          <t>Total
/sem.</t>
        </is>
      </c>
    </row>
    <row r="6" ht="30" customHeight="1">
      <c r="A6" s="21" t="inlineStr">
        <is>
          <t>T1</t>
        </is>
      </c>
      <c r="B6" s="22" t="inlineStr">
        <is>
          <t>100 % SAV — Blois (L-Me-V) · Valencisse (Ma-J-S)</t>
        </is>
      </c>
      <c r="C6" s="23" t="n">
        <v>6</v>
      </c>
      <c r="D6" s="24" t="inlineStr">
        <is>
          <t>Blois
SAV 4</t>
        </is>
      </c>
      <c r="E6" s="24" t="inlineStr">
        <is>
          <t>Blois
SAV 4</t>
        </is>
      </c>
      <c r="F6" s="25" t="inlineStr">
        <is>
          <t>Valencisse
SAV 3 · PROD 1</t>
        </is>
      </c>
      <c r="G6" s="26" t="inlineStr">
        <is>
          <t>Valencisse
PROD 4</t>
        </is>
      </c>
      <c r="H6" s="24" t="inlineStr">
        <is>
          <t>Blois
SAV 4</t>
        </is>
      </c>
      <c r="I6" s="24" t="inlineStr">
        <is>
          <t>Blois
SAV 4</t>
        </is>
      </c>
      <c r="J6" s="25" t="inlineStr">
        <is>
          <t>Valencisse
SAV 3 · PROD 1</t>
        </is>
      </c>
      <c r="K6" s="26" t="inlineStr">
        <is>
          <t>Valencisse
PROD 4</t>
        </is>
      </c>
      <c r="L6" s="24" t="inlineStr">
        <is>
          <t>Blois
SAV 4</t>
        </is>
      </c>
      <c r="M6" s="24" t="inlineStr">
        <is>
          <t>Blois
SAV 4</t>
        </is>
      </c>
      <c r="N6" s="25" t="inlineStr">
        <is>
          <t>Valencisse
SAV 3 · PROD 1</t>
        </is>
      </c>
      <c r="O6" s="26" t="inlineStr">
        <is>
          <t>Valencisse
PROD 4</t>
        </is>
      </c>
      <c r="P6" s="21" t="n">
        <v>33</v>
      </c>
      <c r="Q6" s="21" t="n">
        <v>15</v>
      </c>
      <c r="R6" s="21" t="n">
        <v>48</v>
      </c>
    </row>
    <row r="7" ht="30" customHeight="1">
      <c r="A7" s="21" t="inlineStr">
        <is>
          <t>T2</t>
        </is>
      </c>
      <c r="B7" s="22" t="inlineStr">
        <is>
          <t>Nord — Vendôme+Épiais (L-Me-V) · Montoire+Cormenon (Ma-J-S)</t>
        </is>
      </c>
      <c r="C7" s="23" t="n">
        <v>6</v>
      </c>
      <c r="D7" s="24" t="inlineStr">
        <is>
          <t>Vendôme
SAV 4</t>
        </is>
      </c>
      <c r="E7" s="24" t="inlineStr">
        <is>
          <t>Épiais
SAV 4</t>
        </is>
      </c>
      <c r="F7" s="24" t="inlineStr">
        <is>
          <t>Montoire
SAV 4</t>
        </is>
      </c>
      <c r="G7" s="25" t="inlineStr">
        <is>
          <t>Cormenon
SAV 3 · PROD 1</t>
        </is>
      </c>
      <c r="H7" s="24" t="inlineStr">
        <is>
          <t>Vendôme
SAV 4</t>
        </is>
      </c>
      <c r="I7" s="24" t="inlineStr">
        <is>
          <t>Épiais
SAV 4</t>
        </is>
      </c>
      <c r="J7" s="24" t="inlineStr">
        <is>
          <t>Montoire
SAV 4</t>
        </is>
      </c>
      <c r="K7" s="25" t="inlineStr">
        <is>
          <t>Cormenon
SAV 3 · PROD 1</t>
        </is>
      </c>
      <c r="L7" s="24" t="inlineStr">
        <is>
          <t>Vendôme
SAV 4</t>
        </is>
      </c>
      <c r="M7" s="25" t="inlineStr">
        <is>
          <t>Épiais
SAV 3 · PROD 1</t>
        </is>
      </c>
      <c r="N7" s="25" t="inlineStr">
        <is>
          <t>Montoire
SAV 3 · PROD 1</t>
        </is>
      </c>
      <c r="O7" s="25" t="inlineStr">
        <is>
          <t>Cormenon
SAV 3 · PROD 1</t>
        </is>
      </c>
      <c r="P7" s="21" t="n">
        <v>43</v>
      </c>
      <c r="Q7" s="21" t="n">
        <v>5</v>
      </c>
      <c r="R7" s="21" t="n">
        <v>48</v>
      </c>
    </row>
    <row r="8" ht="30" customHeight="1">
      <c r="A8" s="21" t="inlineStr">
        <is>
          <t>T3</t>
        </is>
      </c>
      <c r="B8" s="22" t="inlineStr">
        <is>
          <t>Sologne Sud — Mur (L-Me-V) · Romorantin+La Ferté (Ma-J-S)</t>
        </is>
      </c>
      <c r="C8" s="23" t="n">
        <v>6</v>
      </c>
      <c r="D8" s="24" t="inlineStr">
        <is>
          <t>Mur-de-Sologne
SAV 4</t>
        </is>
      </c>
      <c r="E8" s="25" t="inlineStr">
        <is>
          <t>Mur-de-Sologne
SAV 1 · PROD 3</t>
        </is>
      </c>
      <c r="F8" s="25" t="inlineStr">
        <is>
          <t>Romorantin
SAV 3 · PROD 1</t>
        </is>
      </c>
      <c r="G8" s="25" t="inlineStr">
        <is>
          <t>La Ferté-Imb.
SAV 2 · PROD 2</t>
        </is>
      </c>
      <c r="H8" s="24" t="inlineStr">
        <is>
          <t>Mur-de-Sologne
SAV 4</t>
        </is>
      </c>
      <c r="I8" s="25" t="inlineStr">
        <is>
          <t>Mur-de-Sologne
SAV 1 · PROD 3</t>
        </is>
      </c>
      <c r="J8" s="25" t="inlineStr">
        <is>
          <t>Romorantin
SAV 3 · PROD 1</t>
        </is>
      </c>
      <c r="K8" s="25" t="inlineStr">
        <is>
          <t>La Ferté-Imb.
SAV 2 · PROD 2</t>
        </is>
      </c>
      <c r="L8" s="24" t="inlineStr">
        <is>
          <t>Mur-de-Sologne
SAV 4</t>
        </is>
      </c>
      <c r="M8" s="25" t="inlineStr">
        <is>
          <t>Mur-de-Sologne
SAV 1 · PROD 3</t>
        </is>
      </c>
      <c r="N8" s="25" t="inlineStr">
        <is>
          <t>Romorantin
SAV 2 · PROD 2</t>
        </is>
      </c>
      <c r="O8" s="25" t="inlineStr">
        <is>
          <t>La Ferté-Imb.
SAV 1 · PROD 3</t>
        </is>
      </c>
      <c r="P8" s="21" t="n">
        <v>28</v>
      </c>
      <c r="Q8" s="21" t="n">
        <v>20</v>
      </c>
      <c r="R8" s="21" t="n">
        <v>48</v>
      </c>
    </row>
    <row r="9" ht="30" customHeight="1">
      <c r="A9" s="21" t="inlineStr">
        <is>
          <t>T4</t>
        </is>
      </c>
      <c r="B9" s="22" t="inlineStr">
        <is>
          <t>Sologne Est — Crouy (L-Me-V) · Vouzon (Ma-J-S)</t>
        </is>
      </c>
      <c r="C9" s="23" t="n">
        <v>6</v>
      </c>
      <c r="D9" s="24" t="inlineStr">
        <is>
          <t>Crouy-s-Cosson
SAV 4</t>
        </is>
      </c>
      <c r="E9" s="26" t="inlineStr">
        <is>
          <t>Crouy-s-Cosson
PROD 4</t>
        </is>
      </c>
      <c r="F9" s="25" t="inlineStr">
        <is>
          <t>Vouzon
SAV 3 · PROD 1</t>
        </is>
      </c>
      <c r="G9" s="26" t="inlineStr">
        <is>
          <t>Vouzon
PROD 4</t>
        </is>
      </c>
      <c r="H9" s="24" t="inlineStr">
        <is>
          <t>Crouy-s-Cosson
SAV 4</t>
        </is>
      </c>
      <c r="I9" s="26" t="inlineStr">
        <is>
          <t>Crouy-s-Cosson
PROD 4</t>
        </is>
      </c>
      <c r="J9" s="25" t="inlineStr">
        <is>
          <t>Vouzon
SAV 3 · PROD 1</t>
        </is>
      </c>
      <c r="K9" s="26" t="inlineStr">
        <is>
          <t>Vouzon
PROD 4</t>
        </is>
      </c>
      <c r="L9" s="25" t="inlineStr">
        <is>
          <t>Crouy-s-Cosson
SAV 3 · PROD 1</t>
        </is>
      </c>
      <c r="M9" s="26" t="inlineStr">
        <is>
          <t>Crouy-s-Cosson
PROD 4</t>
        </is>
      </c>
      <c r="N9" s="25" t="inlineStr">
        <is>
          <t>Vouzon
SAV 3 · PROD 1</t>
        </is>
      </c>
      <c r="O9" s="26" t="inlineStr">
        <is>
          <t>Vouzon
PROD 4</t>
        </is>
      </c>
      <c r="P9" s="21" t="n">
        <v>20</v>
      </c>
      <c r="Q9" s="21" t="n">
        <v>28</v>
      </c>
      <c r="R9" s="21" t="n">
        <v>48</v>
      </c>
    </row>
    <row r="10" ht="30" customHeight="1">
      <c r="A10" s="21" t="inlineStr">
        <is>
          <t>T5</t>
        </is>
      </c>
      <c r="B10" s="22" t="inlineStr">
        <is>
          <t>Sud-Ouest — Pontlevoy (SAV L-Me-V · PROD Ma-J-S)</t>
        </is>
      </c>
      <c r="C10" s="23" t="n">
        <v>6</v>
      </c>
      <c r="D10" s="24" t="inlineStr">
        <is>
          <t>Pontlevoy
SAV 4</t>
        </is>
      </c>
      <c r="E10" s="24" t="inlineStr">
        <is>
          <t>Pontlevoy
SAV 4</t>
        </is>
      </c>
      <c r="F10" s="26" t="inlineStr">
        <is>
          <t>Pontlevoy
PROD 4</t>
        </is>
      </c>
      <c r="G10" s="26" t="inlineStr">
        <is>
          <t>Pontlevoy
PROD 4</t>
        </is>
      </c>
      <c r="H10" s="24" t="inlineStr">
        <is>
          <t>Pontlevoy
SAV 4</t>
        </is>
      </c>
      <c r="I10" s="24" t="inlineStr">
        <is>
          <t>Pontlevoy
SAV 4</t>
        </is>
      </c>
      <c r="J10" s="26" t="inlineStr">
        <is>
          <t>Pontlevoy
PROD 4</t>
        </is>
      </c>
      <c r="K10" s="26" t="inlineStr">
        <is>
          <t>Pontlevoy
PROD 4</t>
        </is>
      </c>
      <c r="L10" s="24" t="inlineStr">
        <is>
          <t>Pontlevoy
SAV 4</t>
        </is>
      </c>
      <c r="M10" s="24" t="inlineStr">
        <is>
          <t>Pontlevoy
SAV 4</t>
        </is>
      </c>
      <c r="N10" s="26" t="inlineStr">
        <is>
          <t>Pontlevoy
PROD 4</t>
        </is>
      </c>
      <c r="O10" s="26" t="inlineStr">
        <is>
          <t>Pontlevoy
PROD 4</t>
        </is>
      </c>
      <c r="P10" s="21" t="n">
        <v>24</v>
      </c>
      <c r="Q10" s="21" t="n">
        <v>24</v>
      </c>
      <c r="R10" s="21" t="n">
        <v>48</v>
      </c>
    </row>
    <row r="11" ht="30" customHeight="1">
      <c r="A11" s="21" t="inlineStr">
        <is>
          <t>T6</t>
        </is>
      </c>
      <c r="B11" s="22" t="inlineStr">
        <is>
          <t>Blois — mixte SAV / PROD</t>
        </is>
      </c>
      <c r="C11" s="7" t="n">
        <v>5</v>
      </c>
      <c r="D11" s="24" t="inlineStr">
        <is>
          <t>Blois
SAV 4</t>
        </is>
      </c>
      <c r="E11" s="26" t="inlineStr">
        <is>
          <t>Blois
PROD 4</t>
        </is>
      </c>
      <c r="F11" s="24" t="inlineStr">
        <is>
          <t>Blois
SAV 4</t>
        </is>
      </c>
      <c r="G11" s="26" t="inlineStr">
        <is>
          <t>Blois
PROD 4</t>
        </is>
      </c>
      <c r="H11" s="24" t="inlineStr">
        <is>
          <t>Blois
SAV 4</t>
        </is>
      </c>
      <c r="I11" s="26" t="inlineStr">
        <is>
          <t>Blois
PROD 4</t>
        </is>
      </c>
      <c r="J11" s="24" t="inlineStr">
        <is>
          <t>Blois
SAV 4</t>
        </is>
      </c>
      <c r="K11" s="26" t="inlineStr">
        <is>
          <t>Blois
PROD 4</t>
        </is>
      </c>
      <c r="L11" s="24" t="inlineStr">
        <is>
          <t>Blois
SAV 4</t>
        </is>
      </c>
      <c r="M11" s="26" t="inlineStr">
        <is>
          <t>Blois
PROD 4</t>
        </is>
      </c>
      <c r="N11" s="27" t="inlineStr">
        <is>
          <t>repos</t>
        </is>
      </c>
      <c r="O11" s="27" t="inlineStr">
        <is>
          <t>repos</t>
        </is>
      </c>
      <c r="P11" s="21" t="n">
        <v>20</v>
      </c>
      <c r="Q11" s="21" t="n">
        <v>20</v>
      </c>
      <c r="R11" s="21" t="n">
        <v>40</v>
      </c>
    </row>
    <row r="12" ht="30" customHeight="1">
      <c r="A12" s="21" t="inlineStr">
        <is>
          <t>T7</t>
        </is>
      </c>
      <c r="B12" s="22" t="inlineStr">
        <is>
          <t>Blois — PROD</t>
        </is>
      </c>
      <c r="C12" s="7" t="n">
        <v>5</v>
      </c>
      <c r="D12" s="26" t="inlineStr">
        <is>
          <t>Blois
PROD 4</t>
        </is>
      </c>
      <c r="E12" s="26" t="inlineStr">
        <is>
          <t>Blois
PROD 4</t>
        </is>
      </c>
      <c r="F12" s="26" t="inlineStr">
        <is>
          <t>Blois
PROD 4</t>
        </is>
      </c>
      <c r="G12" s="26" t="inlineStr">
        <is>
          <t>Blois
PROD 4</t>
        </is>
      </c>
      <c r="H12" s="26" t="inlineStr">
        <is>
          <t>Blois
PROD 4</t>
        </is>
      </c>
      <c r="I12" s="26" t="inlineStr">
        <is>
          <t>Blois
PROD 4</t>
        </is>
      </c>
      <c r="J12" s="26" t="inlineStr">
        <is>
          <t>Blois
PROD 4</t>
        </is>
      </c>
      <c r="K12" s="26" t="inlineStr">
        <is>
          <t>Blois
PROD 4</t>
        </is>
      </c>
      <c r="L12" s="26" t="inlineStr">
        <is>
          <t>Blois
PROD 4</t>
        </is>
      </c>
      <c r="M12" s="26" t="inlineStr">
        <is>
          <t>Blois
PROD 4</t>
        </is>
      </c>
      <c r="N12" s="27" t="inlineStr">
        <is>
          <t>repos</t>
        </is>
      </c>
      <c r="O12" s="27" t="inlineStr">
        <is>
          <t>repos</t>
        </is>
      </c>
      <c r="P12" s="21" t="n">
        <v>0</v>
      </c>
      <c r="Q12" s="21" t="n">
        <v>40</v>
      </c>
      <c r="R12" s="21" t="n">
        <v>40</v>
      </c>
    </row>
    <row r="13" ht="30" customHeight="1">
      <c r="A13" s="21" t="inlineStr">
        <is>
          <t>T8</t>
        </is>
      </c>
      <c r="B13" s="22" t="inlineStr">
        <is>
          <t>Blois — PROD</t>
        </is>
      </c>
      <c r="C13" s="7" t="n">
        <v>5</v>
      </c>
      <c r="D13" s="26" t="inlineStr">
        <is>
          <t>Blois
PROD 4</t>
        </is>
      </c>
      <c r="E13" s="26" t="inlineStr">
        <is>
          <t>Blois
PROD 4</t>
        </is>
      </c>
      <c r="F13" s="26" t="inlineStr">
        <is>
          <t>Blois
PROD 4</t>
        </is>
      </c>
      <c r="G13" s="26" t="inlineStr">
        <is>
          <t>Blois
PROD 4</t>
        </is>
      </c>
      <c r="H13" s="26" t="inlineStr">
        <is>
          <t>Blois
PROD 4</t>
        </is>
      </c>
      <c r="I13" s="26" t="inlineStr">
        <is>
          <t>Blois
PROD 4</t>
        </is>
      </c>
      <c r="J13" s="26" t="inlineStr">
        <is>
          <t>Blois
PROD 4</t>
        </is>
      </c>
      <c r="K13" s="26" t="inlineStr">
        <is>
          <t>Blois
PROD 4</t>
        </is>
      </c>
      <c r="L13" s="26" t="inlineStr">
        <is>
          <t>Blois
PROD 4</t>
        </is>
      </c>
      <c r="M13" s="26" t="inlineStr">
        <is>
          <t>Blois
PROD 4</t>
        </is>
      </c>
      <c r="N13" s="27" t="inlineStr">
        <is>
          <t>repos</t>
        </is>
      </c>
      <c r="O13" s="27" t="inlineStr">
        <is>
          <t>repos</t>
        </is>
      </c>
      <c r="P13" s="21" t="n">
        <v>0</v>
      </c>
      <c r="Q13" s="21" t="n">
        <v>40</v>
      </c>
      <c r="R13" s="21" t="n">
        <v>40</v>
      </c>
    </row>
    <row r="14" ht="30" customHeight="1">
      <c r="A14" s="21" t="inlineStr">
        <is>
          <t>T9</t>
        </is>
      </c>
      <c r="B14" s="22" t="inlineStr">
        <is>
          <t>Nord — PROD Vendômois / Beauce</t>
        </is>
      </c>
      <c r="C14" s="7" t="n">
        <v>5</v>
      </c>
      <c r="D14" s="26" t="inlineStr">
        <is>
          <t>Vendôme
PROD 4</t>
        </is>
      </c>
      <c r="E14" s="26" t="inlineStr">
        <is>
          <t>Épiais
PROD 4</t>
        </is>
      </c>
      <c r="F14" s="26" t="inlineStr">
        <is>
          <t>Montoire
PROD 4</t>
        </is>
      </c>
      <c r="G14" s="26" t="inlineStr">
        <is>
          <t>Cormenon
PROD 4</t>
        </is>
      </c>
      <c r="H14" s="26" t="inlineStr">
        <is>
          <t>Vendôme
PROD 4</t>
        </is>
      </c>
      <c r="I14" s="26" t="inlineStr">
        <is>
          <t>Épiais
PROD 4</t>
        </is>
      </c>
      <c r="J14" s="26" t="inlineStr">
        <is>
          <t>Épiais
PROD 4</t>
        </is>
      </c>
      <c r="K14" s="26" t="inlineStr">
        <is>
          <t>Épiais
PROD 4</t>
        </is>
      </c>
      <c r="L14" s="26" t="inlineStr">
        <is>
          <t>Montoire
PROD 4</t>
        </is>
      </c>
      <c r="M14" s="26" t="inlineStr">
        <is>
          <t>Montoire
PROD 4</t>
        </is>
      </c>
      <c r="N14" s="27" t="inlineStr">
        <is>
          <t>repos</t>
        </is>
      </c>
      <c r="O14" s="27" t="inlineStr">
        <is>
          <t>repos</t>
        </is>
      </c>
      <c r="P14" s="21" t="n">
        <v>0</v>
      </c>
      <c r="Q14" s="21" t="n">
        <v>40</v>
      </c>
      <c r="R14" s="21" t="n">
        <v>40</v>
      </c>
    </row>
    <row r="15" ht="30" customHeight="1">
      <c r="A15" s="21" t="inlineStr">
        <is>
          <t>T10</t>
        </is>
      </c>
      <c r="B15" s="22" t="inlineStr">
        <is>
          <t>Sologne / Sud-Ouest — PROD</t>
        </is>
      </c>
      <c r="C15" s="7" t="n">
        <v>5</v>
      </c>
      <c r="D15" s="26" t="inlineStr">
        <is>
          <t>Romorantin
PROD 4</t>
        </is>
      </c>
      <c r="E15" s="26" t="inlineStr">
        <is>
          <t>Mur-de-Sologne
PROD 4</t>
        </is>
      </c>
      <c r="F15" s="26" t="inlineStr">
        <is>
          <t>Pontlevoy
PROD 4</t>
        </is>
      </c>
      <c r="G15" s="26" t="inlineStr">
        <is>
          <t>Pontlevoy
PROD 4</t>
        </is>
      </c>
      <c r="H15" s="26" t="inlineStr">
        <is>
          <t>Romorantin
PROD 4</t>
        </is>
      </c>
      <c r="I15" s="26" t="inlineStr">
        <is>
          <t>Mur-de-Sologne
PROD 4</t>
        </is>
      </c>
      <c r="J15" s="26" t="inlineStr">
        <is>
          <t>Pontlevoy
PROD 4</t>
        </is>
      </c>
      <c r="K15" s="26" t="inlineStr">
        <is>
          <t>Pontlevoy
PROD 4</t>
        </is>
      </c>
      <c r="L15" s="26" t="inlineStr">
        <is>
          <t>Romorantin
PROD 4</t>
        </is>
      </c>
      <c r="M15" s="26" t="inlineStr">
        <is>
          <t>La Ferté-Imb.
PROD 4</t>
        </is>
      </c>
      <c r="N15" s="27" t="inlineStr">
        <is>
          <t>repos</t>
        </is>
      </c>
      <c r="O15" s="27" t="inlineStr">
        <is>
          <t>repos</t>
        </is>
      </c>
      <c r="P15" s="21" t="n">
        <v>0</v>
      </c>
      <c r="Q15" s="21" t="n">
        <v>40</v>
      </c>
      <c r="R15" s="21" t="n">
        <v>40</v>
      </c>
    </row>
    <row r="16" ht="30" customHeight="1">
      <c r="A16" s="21" t="inlineStr">
        <is>
          <t>T11</t>
        </is>
      </c>
      <c r="B16" s="22" t="inlineStr">
        <is>
          <t>Renfort flottant — réserve opérationnelle</t>
        </is>
      </c>
      <c r="C16" s="7" t="n">
        <v>5</v>
      </c>
      <c r="D16" s="26" t="inlineStr">
        <is>
          <t>Blois
PROD 4</t>
        </is>
      </c>
      <c r="E16" s="26" t="inlineStr">
        <is>
          <t>Blois
PROD 4</t>
        </is>
      </c>
      <c r="F16" s="26" t="inlineStr">
        <is>
          <t>Épiais
PROD 4</t>
        </is>
      </c>
      <c r="G16" s="26" t="inlineStr">
        <is>
          <t>Vendôme
PROD 4</t>
        </is>
      </c>
      <c r="H16" s="26" t="inlineStr">
        <is>
          <t>Blois
PROD 4</t>
        </is>
      </c>
      <c r="I16" s="26" t="inlineStr">
        <is>
          <t>Blois
PROD 4</t>
        </is>
      </c>
      <c r="J16" s="26" t="inlineStr">
        <is>
          <t>Montoire
PROD 4</t>
        </is>
      </c>
      <c r="K16" s="26" t="inlineStr">
        <is>
          <t>Montoire
PROD 4</t>
        </is>
      </c>
      <c r="L16" s="26" t="inlineStr">
        <is>
          <t>Crouy-s-Cosson
PROD 4</t>
        </is>
      </c>
      <c r="M16" s="26" t="inlineStr">
        <is>
          <t>Crouy-s-Cosson
PROD 4</t>
        </is>
      </c>
      <c r="N16" s="27" t="inlineStr">
        <is>
          <t>repos</t>
        </is>
      </c>
      <c r="O16" s="27" t="inlineStr">
        <is>
          <t>repos</t>
        </is>
      </c>
      <c r="P16" s="21" t="n">
        <v>0</v>
      </c>
      <c r="Q16" s="21" t="n">
        <v>40</v>
      </c>
      <c r="R16" s="21" t="n">
        <v>40</v>
      </c>
    </row>
    <row r="17">
      <c r="A17" s="4" t="inlineStr">
        <is>
          <t>TOTAL</t>
        </is>
      </c>
      <c r="B17" s="4" t="n"/>
      <c r="C17" s="4">
        <f>SUM(C6:C16)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>
        <f>SUM(P6:P16)</f>
        <v/>
      </c>
      <c r="Q17" s="4">
        <f>SUM(Q6:Q16)</f>
        <v/>
      </c>
      <c r="R17" s="4">
        <f>SUM(R6:R16)</f>
        <v/>
      </c>
    </row>
    <row r="18"/>
    <row r="19">
      <c r="A19" s="2" t="inlineStr">
        <is>
          <t>Bleu = créneaux SAV réservés   ·   Orange = PROD posée   ·   Gris = demi-journée mixte   ·   Colonne « Jours » sur fond orange = les 5 techniciens à 6 jours</t>
        </is>
      </c>
    </row>
    <row r="20">
      <c r="A20" s="2" t="inlineStr">
        <is>
          <t>Enchaînements matin → après-midi sur deux secteurs différents : Montoire→Cormenon 30 km · Vendôme→Épiais 29 km · Romorantin→La Ferté-Imbault 22 km · Romorantin→Mur-de-Sologne 13 km. Aucun au-delà de 30 km.</t>
        </is>
      </c>
    </row>
    <row r="21">
      <c r="A21" s="2" t="inlineStr">
        <is>
          <t>T11 est le renfort flottant : ses journées constituent la réserve pour les absences, les urgences et les pointes de volume. C'est le seul technicien réaffectable d'une semaine sur l'autre.</t>
        </is>
      </c>
    </row>
  </sheetData>
  <mergeCells count="1">
    <mergeCell ref="A17:B17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9" customWidth="1" min="3" max="3"/>
    <col width="10" customWidth="1" min="4" max="4"/>
    <col width="11" customWidth="1" min="5" max="5"/>
    <col width="8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1" customWidth="1" min="12" max="12"/>
    <col width="12" customWidth="1" min="13" max="13"/>
  </cols>
  <sheetData>
    <row r="1">
      <c r="A1" s="1" t="inlineStr">
        <is>
          <t>CONTRÔLE PAR SECTEUR — DÉLAI SAV, COUVERTURE SAV ET PROD</t>
        </is>
      </c>
    </row>
    <row r="2">
      <c r="A2" s="2" t="inlineStr">
        <is>
          <t>Les quatre colonnes de contrôle doivent toutes afficher OK. Elles vérifient le délai J+1/J+2, la couverture du SAV et celle de la PROD.</t>
        </is>
      </c>
    </row>
    <row r="3"/>
    <row r="4" ht="44" customHeight="1">
      <c r="A4" s="4" t="inlineStr">
        <is>
          <t>Secteur</t>
        </is>
      </c>
      <c r="B4" s="4" t="inlineStr">
        <is>
          <t>Jours de passage SAV</t>
        </is>
      </c>
      <c r="C4" s="4" t="inlineStr">
        <is>
          <t>Passages /sem.</t>
        </is>
      </c>
      <c r="D4" s="4" t="inlineStr">
        <is>
          <t>Rythme</t>
        </is>
      </c>
      <c r="E4" s="4" t="inlineStr">
        <is>
          <t>Créneaux ouverts</t>
        </is>
      </c>
      <c r="F4" s="4" t="inlineStr">
        <is>
          <t>Cible</t>
        </is>
      </c>
      <c r="G4" s="4" t="inlineStr">
        <is>
          <t>SAV réservés</t>
        </is>
      </c>
      <c r="H4" s="4" t="inlineStr">
        <is>
          <t>SAV demandé</t>
        </is>
      </c>
      <c r="I4" s="4" t="inlineStr">
        <is>
          <t>PROD ouverte</t>
        </is>
      </c>
      <c r="J4" s="4" t="inlineStr">
        <is>
          <t>PROD demandée</t>
        </is>
      </c>
      <c r="K4" s="4" t="inlineStr">
        <is>
          <t>Délai J+1/J+2</t>
        </is>
      </c>
      <c r="L4" s="4" t="inlineStr">
        <is>
          <t>SAV couvert</t>
        </is>
      </c>
      <c r="M4" s="4" t="inlineStr">
        <is>
          <t>PROD couverte</t>
        </is>
      </c>
    </row>
    <row r="5">
      <c r="A5" s="22" t="inlineStr">
        <is>
          <t>Blois</t>
        </is>
      </c>
      <c r="B5" s="7" t="inlineStr">
        <is>
          <t>Lun · Mar · Mer · Jeu · Ven</t>
        </is>
      </c>
      <c r="C5" s="7" t="n">
        <v>5</v>
      </c>
      <c r="D5" s="7" t="inlineStr">
        <is>
          <t>Quotidien</t>
        </is>
      </c>
      <c r="E5" s="21" t="n">
        <v>160</v>
      </c>
      <c r="F5" s="28" t="n">
        <v>138</v>
      </c>
      <c r="G5" s="21" t="n">
        <v>44</v>
      </c>
      <c r="H5" s="29" t="n">
        <v>42</v>
      </c>
      <c r="I5" s="21" t="n">
        <v>116</v>
      </c>
      <c r="J5" s="30" t="n">
        <v>61.7</v>
      </c>
      <c r="K5" s="31">
        <f>IF($C5&gt;=3,"OK","NON")</f>
        <v/>
      </c>
      <c r="L5" s="31">
        <f>IF($G5&gt;=$H5,"OK","NON")</f>
        <v/>
      </c>
      <c r="M5" s="31">
        <f>IF($I5&gt;=$J5,"OK","NON")</f>
        <v/>
      </c>
    </row>
    <row r="6">
      <c r="A6" s="22" t="inlineStr">
        <is>
          <t>Pontlevoy</t>
        </is>
      </c>
      <c r="B6" s="7" t="inlineStr">
        <is>
          <t>Lun · Mer · Ven</t>
        </is>
      </c>
      <c r="C6" s="7" t="n">
        <v>3</v>
      </c>
      <c r="D6" s="7" t="inlineStr">
        <is>
          <t>L-Me-V</t>
        </is>
      </c>
      <c r="E6" s="21" t="n">
        <v>64</v>
      </c>
      <c r="F6" s="28" t="n">
        <v>62</v>
      </c>
      <c r="G6" s="21" t="n">
        <v>24</v>
      </c>
      <c r="H6" s="29" t="n">
        <v>24</v>
      </c>
      <c r="I6" s="21" t="n">
        <v>40</v>
      </c>
      <c r="J6" s="30" t="n">
        <v>22.5</v>
      </c>
      <c r="K6" s="31">
        <f>IF($C6&gt;=3,"OK","NON")</f>
        <v/>
      </c>
      <c r="L6" s="31">
        <f>IF($G6&gt;=$H6,"OK","NON")</f>
        <v/>
      </c>
      <c r="M6" s="31">
        <f>IF($I6&gt;=$J6,"OK","NON")</f>
        <v/>
      </c>
    </row>
    <row r="7">
      <c r="A7" s="22" t="inlineStr">
        <is>
          <t>Épiais</t>
        </is>
      </c>
      <c r="B7" s="7" t="inlineStr">
        <is>
          <t>Lun · Mer · Ven</t>
        </is>
      </c>
      <c r="C7" s="7" t="n">
        <v>3</v>
      </c>
      <c r="D7" s="7" t="inlineStr">
        <is>
          <t>L-Me-V</t>
        </is>
      </c>
      <c r="E7" s="21" t="n">
        <v>32</v>
      </c>
      <c r="F7" s="28" t="n">
        <v>32</v>
      </c>
      <c r="G7" s="21" t="n">
        <v>11</v>
      </c>
      <c r="H7" s="29" t="n">
        <v>11</v>
      </c>
      <c r="I7" s="21" t="n">
        <v>21</v>
      </c>
      <c r="J7" s="30" t="n">
        <v>12.9</v>
      </c>
      <c r="K7" s="31">
        <f>IF($C7&gt;=3,"OK","NON")</f>
        <v/>
      </c>
      <c r="L7" s="31">
        <f>IF($G7&gt;=$H7,"OK","NON")</f>
        <v/>
      </c>
      <c r="M7" s="31">
        <f>IF($I7&gt;=$J7,"OK","NON")</f>
        <v/>
      </c>
    </row>
    <row r="8">
      <c r="A8" s="22" t="inlineStr">
        <is>
          <t>Mur-de-Sologne</t>
        </is>
      </c>
      <c r="B8" s="7" t="inlineStr">
        <is>
          <t>Lun · Mer · Ven</t>
        </is>
      </c>
      <c r="C8" s="7" t="n">
        <v>3</v>
      </c>
      <c r="D8" s="7" t="inlineStr">
        <is>
          <t>L-Me-V</t>
        </is>
      </c>
      <c r="E8" s="21" t="n">
        <v>32</v>
      </c>
      <c r="F8" s="28" t="n">
        <v>30</v>
      </c>
      <c r="G8" s="21" t="n">
        <v>15</v>
      </c>
      <c r="H8" s="29" t="n">
        <v>10</v>
      </c>
      <c r="I8" s="21" t="n">
        <v>17</v>
      </c>
      <c r="J8" s="30" t="n">
        <v>12.5</v>
      </c>
      <c r="K8" s="31">
        <f>IF($C8&gt;=3,"OK","NON")</f>
        <v/>
      </c>
      <c r="L8" s="31">
        <f>IF($G8&gt;=$H8,"OK","NON")</f>
        <v/>
      </c>
      <c r="M8" s="31">
        <f>IF($I8&gt;=$J8,"OK","NON")</f>
        <v/>
      </c>
    </row>
    <row r="9">
      <c r="A9" s="22" t="inlineStr">
        <is>
          <t>Crouy-sur-Cosson</t>
        </is>
      </c>
      <c r="B9" s="7" t="inlineStr">
        <is>
          <t>Lun · Mer · Ven</t>
        </is>
      </c>
      <c r="C9" s="7" t="n">
        <v>3</v>
      </c>
      <c r="D9" s="7" t="inlineStr">
        <is>
          <t>L-Me-V</t>
        </is>
      </c>
      <c r="E9" s="21" t="n">
        <v>32</v>
      </c>
      <c r="F9" s="28" t="n">
        <v>28</v>
      </c>
      <c r="G9" s="21" t="n">
        <v>11</v>
      </c>
      <c r="H9" s="29" t="n">
        <v>8</v>
      </c>
      <c r="I9" s="21" t="n">
        <v>21</v>
      </c>
      <c r="J9" s="30" t="n">
        <v>13.3</v>
      </c>
      <c r="K9" s="31">
        <f>IF($C9&gt;=3,"OK","NON")</f>
        <v/>
      </c>
      <c r="L9" s="31">
        <f>IF($G9&gt;=$H9,"OK","NON")</f>
        <v/>
      </c>
      <c r="M9" s="31">
        <f>IF($I9&gt;=$J9,"OK","NON")</f>
        <v/>
      </c>
    </row>
    <row r="10">
      <c r="A10" s="22" t="inlineStr">
        <is>
          <t>Montoire-sur-le-Loir</t>
        </is>
      </c>
      <c r="B10" s="7" t="inlineStr">
        <is>
          <t>Mar · Jeu · Sam</t>
        </is>
      </c>
      <c r="C10" s="7" t="n">
        <v>3</v>
      </c>
      <c r="D10" s="7" t="inlineStr">
        <is>
          <t>Ma-J-S</t>
        </is>
      </c>
      <c r="E10" s="21" t="n">
        <v>32</v>
      </c>
      <c r="F10" s="28" t="n">
        <v>27</v>
      </c>
      <c r="G10" s="21" t="n">
        <v>11</v>
      </c>
      <c r="H10" s="29" t="n">
        <v>8</v>
      </c>
      <c r="I10" s="21" t="n">
        <v>21</v>
      </c>
      <c r="J10" s="30" t="n">
        <v>12.3</v>
      </c>
      <c r="K10" s="31">
        <f>IF($C10&gt;=3,"OK","NON")</f>
        <v/>
      </c>
      <c r="L10" s="31">
        <f>IF($G10&gt;=$H10,"OK","NON")</f>
        <v/>
      </c>
      <c r="M10" s="31">
        <f>IF($I10&gt;=$J10,"OK","NON")</f>
        <v/>
      </c>
    </row>
    <row r="11">
      <c r="A11" s="22" t="inlineStr">
        <is>
          <t>Vendôme</t>
        </is>
      </c>
      <c r="B11" s="7" t="inlineStr">
        <is>
          <t>Lun · Mer · Ven</t>
        </is>
      </c>
      <c r="C11" s="7" t="n">
        <v>3</v>
      </c>
      <c r="D11" s="7" t="inlineStr">
        <is>
          <t>L-Me-V</t>
        </is>
      </c>
      <c r="E11" s="21" t="n">
        <v>24</v>
      </c>
      <c r="F11" s="28" t="n">
        <v>25</v>
      </c>
      <c r="G11" s="21" t="n">
        <v>12</v>
      </c>
      <c r="H11" s="29" t="n">
        <v>9</v>
      </c>
      <c r="I11" s="21" t="n">
        <v>12</v>
      </c>
      <c r="J11" s="30" t="n">
        <v>9.800000000000001</v>
      </c>
      <c r="K11" s="31">
        <f>IF($C11&gt;=3,"OK","NON")</f>
        <v/>
      </c>
      <c r="L11" s="31">
        <f>IF($G11&gt;=$H11,"OK","NON")</f>
        <v/>
      </c>
      <c r="M11" s="31">
        <f>IF($I11&gt;=$J11,"OK","NON")</f>
        <v/>
      </c>
    </row>
    <row r="12">
      <c r="A12" s="22" t="inlineStr">
        <is>
          <t>Romorantin-Lanthenay</t>
        </is>
      </c>
      <c r="B12" s="7" t="inlineStr">
        <is>
          <t>Mar · Jeu · Sam</t>
        </is>
      </c>
      <c r="C12" s="7" t="n">
        <v>3</v>
      </c>
      <c r="D12" s="7" t="inlineStr">
        <is>
          <t>Ma-J-S</t>
        </is>
      </c>
      <c r="E12" s="21" t="n">
        <v>24</v>
      </c>
      <c r="F12" s="28" t="n">
        <v>23</v>
      </c>
      <c r="G12" s="21" t="n">
        <v>8</v>
      </c>
      <c r="H12" s="29" t="n">
        <v>6</v>
      </c>
      <c r="I12" s="21" t="n">
        <v>16</v>
      </c>
      <c r="J12" s="30" t="n">
        <v>11.3</v>
      </c>
      <c r="K12" s="31">
        <f>IF($C12&gt;=3,"OK","NON")</f>
        <v/>
      </c>
      <c r="L12" s="31">
        <f>IF($G12&gt;=$H12,"OK","NON")</f>
        <v/>
      </c>
      <c r="M12" s="31">
        <f>IF($I12&gt;=$J12,"OK","NON")</f>
        <v/>
      </c>
    </row>
    <row r="13">
      <c r="A13" s="22" t="inlineStr">
        <is>
          <t>Valencisse</t>
        </is>
      </c>
      <c r="B13" s="7" t="inlineStr">
        <is>
          <t>Mar · Jeu · Sam</t>
        </is>
      </c>
      <c r="C13" s="7" t="n">
        <v>3</v>
      </c>
      <c r="D13" s="7" t="inlineStr">
        <is>
          <t>Ma-J-S</t>
        </is>
      </c>
      <c r="E13" s="21" t="n">
        <v>24</v>
      </c>
      <c r="F13" s="28" t="n">
        <v>23</v>
      </c>
      <c r="G13" s="21" t="n">
        <v>9</v>
      </c>
      <c r="H13" s="29" t="n">
        <v>6</v>
      </c>
      <c r="I13" s="21" t="n">
        <v>15</v>
      </c>
      <c r="J13" s="30" t="n">
        <v>11.1</v>
      </c>
      <c r="K13" s="31">
        <f>IF($C13&gt;=3,"OK","NON")</f>
        <v/>
      </c>
      <c r="L13" s="31">
        <f>IF($G13&gt;=$H13,"OK","NON")</f>
        <v/>
      </c>
      <c r="M13" s="31">
        <f>IF($I13&gt;=$J13,"OK","NON")</f>
        <v/>
      </c>
    </row>
    <row r="14">
      <c r="A14" s="22" t="inlineStr">
        <is>
          <t>Vouzon</t>
        </is>
      </c>
      <c r="B14" s="7" t="inlineStr">
        <is>
          <t>Mar · Jeu · Sam</t>
        </is>
      </c>
      <c r="C14" s="7" t="n">
        <v>3</v>
      </c>
      <c r="D14" s="7" t="inlineStr">
        <is>
          <t>Ma-J-S</t>
        </is>
      </c>
      <c r="E14" s="21" t="n">
        <v>24</v>
      </c>
      <c r="F14" s="28" t="n">
        <v>21</v>
      </c>
      <c r="G14" s="21" t="n">
        <v>9</v>
      </c>
      <c r="H14" s="29" t="n">
        <v>7</v>
      </c>
      <c r="I14" s="21" t="n">
        <v>15</v>
      </c>
      <c r="J14" s="30" t="n">
        <v>8.5</v>
      </c>
      <c r="K14" s="31">
        <f>IF($C14&gt;=3,"OK","NON")</f>
        <v/>
      </c>
      <c r="L14" s="31">
        <f>IF($G14&gt;=$H14,"OK","NON")</f>
        <v/>
      </c>
      <c r="M14" s="31">
        <f>IF($I14&gt;=$J14,"OK","NON")</f>
        <v/>
      </c>
    </row>
    <row r="15">
      <c r="A15" s="22" t="inlineStr">
        <is>
          <t>Cormenon</t>
        </is>
      </c>
      <c r="B15" s="7" t="inlineStr">
        <is>
          <t>Mar · Jeu · Sam</t>
        </is>
      </c>
      <c r="C15" s="7" t="n">
        <v>3</v>
      </c>
      <c r="D15" s="7" t="inlineStr">
        <is>
          <t>Ma-J-S</t>
        </is>
      </c>
      <c r="E15" s="21" t="n">
        <v>16</v>
      </c>
      <c r="F15" s="28" t="n">
        <v>16</v>
      </c>
      <c r="G15" s="21" t="n">
        <v>9</v>
      </c>
      <c r="H15" s="29" t="n">
        <v>7</v>
      </c>
      <c r="I15" s="21" t="n">
        <v>7</v>
      </c>
      <c r="J15" s="30" t="n">
        <v>4.9</v>
      </c>
      <c r="K15" s="31">
        <f>IF($C15&gt;=3,"OK","NON")</f>
        <v/>
      </c>
      <c r="L15" s="31">
        <f>IF($G15&gt;=$H15,"OK","NON")</f>
        <v/>
      </c>
      <c r="M15" s="31">
        <f>IF($I15&gt;=$J15,"OK","NON")</f>
        <v/>
      </c>
    </row>
    <row r="16">
      <c r="A16" s="22" t="inlineStr">
        <is>
          <t>La Ferté-Imbault</t>
        </is>
      </c>
      <c r="B16" s="7" t="inlineStr">
        <is>
          <t>Mar · Jeu · Sam</t>
        </is>
      </c>
      <c r="C16" s="7" t="n">
        <v>3</v>
      </c>
      <c r="D16" s="7" t="inlineStr">
        <is>
          <t>Ma-J-S</t>
        </is>
      </c>
      <c r="E16" s="21" t="n">
        <v>16</v>
      </c>
      <c r="F16" s="28" t="n">
        <v>11</v>
      </c>
      <c r="G16" s="21" t="n">
        <v>5</v>
      </c>
      <c r="H16" s="29" t="n">
        <v>4</v>
      </c>
      <c r="I16" s="21" t="n">
        <v>11</v>
      </c>
      <c r="J16" s="30" t="n">
        <v>4.5</v>
      </c>
      <c r="K16" s="31">
        <f>IF($C16&gt;=3,"OK","NON")</f>
        <v/>
      </c>
      <c r="L16" s="31">
        <f>IF($G16&gt;=$H16,"OK","NON")</f>
        <v/>
      </c>
      <c r="M16" s="31">
        <f>IF($I16&gt;=$J16,"OK","NON")</f>
        <v/>
      </c>
    </row>
    <row r="17">
      <c r="A17" s="4" t="inlineStr">
        <is>
          <t>TOTAL</t>
        </is>
      </c>
      <c r="B17" s="4" t="inlineStr">
        <is>
          <t>12 secteurs</t>
        </is>
      </c>
      <c r="C17" s="4" t="n"/>
      <c r="D17" s="4" t="n"/>
      <c r="E17" s="4">
        <f>SUM(E5:E16)</f>
        <v/>
      </c>
      <c r="F17" s="4">
        <f>SUM(F5:F16)</f>
        <v/>
      </c>
      <c r="G17" s="4">
        <f>SUM(G5:G16)</f>
        <v/>
      </c>
      <c r="H17" s="4">
        <f>SUM(H5:H16)</f>
        <v/>
      </c>
      <c r="I17" s="4">
        <f>SUM(I5:I16)</f>
        <v/>
      </c>
      <c r="J17" s="32">
        <f>SUM(J5:J16)</f>
        <v/>
      </c>
      <c r="K17" s="4" t="n"/>
      <c r="L17" s="4" t="n"/>
      <c r="M17" s="4" t="n"/>
    </row>
    <row r="18"/>
    <row r="19">
      <c r="A19" s="2" t="inlineStr">
        <is>
          <t>« Cible » = part des 436 créneaux revenant au secteur, au prorata de sa demande totale (SAV + PROD).</t>
        </is>
      </c>
    </row>
    <row r="20">
      <c r="A20" s="2" t="inlineStr">
        <is>
          <t>Un secteur peut dépasser sa cible : l'excédent constitue sa réserve locale. Il ne doit jamais passer sous la demande SAV ni sous la demande PROD.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1" customWidth="1" min="4" max="4"/>
    <col width="13" customWidth="1" min="5" max="5"/>
    <col width="13" customWidth="1" min="6" max="6"/>
    <col width="12" customWidth="1" min="7" max="7"/>
    <col width="11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DEMANDE PAR SECTEUR — DÉPARTEMENT 41</t>
        </is>
      </c>
    </row>
    <row r="2">
      <c r="A2" s="2" t="inlineStr">
        <is>
          <t>Colonnes B à D : volumes bruts du fichier source. Colonne I (bleue) : volume SAV relevé sur votre planning hebdomadaire.</t>
        </is>
      </c>
    </row>
    <row r="3"/>
    <row r="4" ht="48" customHeight="1">
      <c r="A4" s="4" t="inlineStr">
        <is>
          <t>Secteur</t>
        </is>
      </c>
      <c r="B4" s="4" t="inlineStr">
        <is>
          <t>PROD octobre
(inter./mois)</t>
        </is>
      </c>
      <c r="C4" s="4" t="inlineStr">
        <is>
          <t>PROD mars
(inter./mois)</t>
        </is>
      </c>
      <c r="D4" s="4" t="inlineStr">
        <is>
          <t>B2B
(inter./mois)</t>
        </is>
      </c>
      <c r="E4" s="4" t="inlineStr">
        <is>
          <t>Mois retenu
(max par secteur)</t>
        </is>
      </c>
      <c r="F4" s="4" t="inlineStr">
        <is>
          <t>PROD retenue
+10 % (/mois)</t>
        </is>
      </c>
      <c r="G4" s="4" t="inlineStr">
        <is>
          <t>PROD
+10 % (/sem.)</t>
        </is>
      </c>
      <c r="H4" s="4" t="inlineStr">
        <is>
          <t>PROD
(/sem.)</t>
        </is>
      </c>
      <c r="I4" s="4" t="inlineStr">
        <is>
          <t>SAV
(/sem.)</t>
        </is>
      </c>
      <c r="J4" s="4" t="inlineStr">
        <is>
          <t>Demande totale
(/sem.)</t>
        </is>
      </c>
      <c r="K4" s="4" t="inlineStr">
        <is>
          <t>Créneaux cible
(occupation 75 %)</t>
        </is>
      </c>
    </row>
    <row r="5">
      <c r="A5" s="22" t="inlineStr">
        <is>
          <t>Blois</t>
        </is>
      </c>
      <c r="B5" s="10" t="n">
        <v>240</v>
      </c>
      <c r="C5" s="10" t="n">
        <v>218</v>
      </c>
      <c r="D5" s="30" t="n">
        <v>3</v>
      </c>
      <c r="E5" s="10">
        <f>MAX($B5,$C5)</f>
        <v/>
      </c>
      <c r="F5" s="30">
        <f>($E5+$D5)*(1+Synthèse!$B$12)</f>
        <v/>
      </c>
      <c r="G5" s="30">
        <f>$F5/4.3333</f>
        <v/>
      </c>
      <c r="H5" s="30">
        <f>$G5</f>
        <v/>
      </c>
      <c r="I5" s="6" t="n">
        <v>42</v>
      </c>
      <c r="J5" s="30">
        <f>$H5+$I5</f>
        <v/>
      </c>
      <c r="K5" s="30">
        <f>$J5/Synthèse!$B$11</f>
        <v/>
      </c>
    </row>
    <row r="6">
      <c r="A6" s="22" t="inlineStr">
        <is>
          <t>Pontlevoy</t>
        </is>
      </c>
      <c r="B6" s="10" t="n">
        <v>88</v>
      </c>
      <c r="C6" s="10" t="n">
        <v>84</v>
      </c>
      <c r="D6" s="30" t="n">
        <v>0.67</v>
      </c>
      <c r="E6" s="10">
        <f>MAX($B6,$C6)</f>
        <v/>
      </c>
      <c r="F6" s="30">
        <f>($E6+$D6)*(1+Synthèse!$B$12)</f>
        <v/>
      </c>
      <c r="G6" s="30">
        <f>$F6/4.3333</f>
        <v/>
      </c>
      <c r="H6" s="30">
        <f>$G6</f>
        <v/>
      </c>
      <c r="I6" s="6" t="n">
        <v>24</v>
      </c>
      <c r="J6" s="30">
        <f>$H6+$I6</f>
        <v/>
      </c>
      <c r="K6" s="30">
        <f>$J6/Synthèse!$B$11</f>
        <v/>
      </c>
    </row>
    <row r="7">
      <c r="A7" s="22" t="inlineStr">
        <is>
          <t>Épiais</t>
        </is>
      </c>
      <c r="B7" s="10" t="n">
        <v>48</v>
      </c>
      <c r="C7" s="10" t="n">
        <v>50</v>
      </c>
      <c r="D7" s="30" t="n">
        <v>0.67</v>
      </c>
      <c r="E7" s="10">
        <f>MAX($B7,$C7)</f>
        <v/>
      </c>
      <c r="F7" s="30">
        <f>($E7+$D7)*(1+Synthèse!$B$12)</f>
        <v/>
      </c>
      <c r="G7" s="30">
        <f>$F7/4.3333</f>
        <v/>
      </c>
      <c r="H7" s="30">
        <f>$G7</f>
        <v/>
      </c>
      <c r="I7" s="6" t="n">
        <v>11</v>
      </c>
      <c r="J7" s="30">
        <f>$H7+$I7</f>
        <v/>
      </c>
      <c r="K7" s="30">
        <f>$J7/Synthèse!$B$11</f>
        <v/>
      </c>
    </row>
    <row r="8">
      <c r="A8" s="22" t="inlineStr">
        <is>
          <t>Mur-de-Sologne</t>
        </is>
      </c>
      <c r="B8" s="10" t="n">
        <v>49</v>
      </c>
      <c r="C8" s="10" t="n">
        <v>36</v>
      </c>
      <c r="D8" s="30" t="n">
        <v>0.33</v>
      </c>
      <c r="E8" s="10">
        <f>MAX($B8,$C8)</f>
        <v/>
      </c>
      <c r="F8" s="30">
        <f>($E8+$D8)*(1+Synthèse!$B$12)</f>
        <v/>
      </c>
      <c r="G8" s="30">
        <f>$F8/4.3333</f>
        <v/>
      </c>
      <c r="H8" s="30">
        <f>$G8</f>
        <v/>
      </c>
      <c r="I8" s="6" t="n">
        <v>10</v>
      </c>
      <c r="J8" s="30">
        <f>$H8+$I8</f>
        <v/>
      </c>
      <c r="K8" s="30">
        <f>$J8/Synthèse!$B$11</f>
        <v/>
      </c>
    </row>
    <row r="9">
      <c r="A9" s="22" t="inlineStr">
        <is>
          <t>Crouy-sur-Cosson</t>
        </is>
      </c>
      <c r="B9" s="10" t="n">
        <v>52</v>
      </c>
      <c r="C9" s="10" t="n">
        <v>48</v>
      </c>
      <c r="D9" s="30" t="n">
        <v>0.33</v>
      </c>
      <c r="E9" s="10">
        <f>MAX($B9,$C9)</f>
        <v/>
      </c>
      <c r="F9" s="30">
        <f>($E9+$D9)*(1+Synthèse!$B$12)</f>
        <v/>
      </c>
      <c r="G9" s="30">
        <f>$F9/4.3333</f>
        <v/>
      </c>
      <c r="H9" s="30">
        <f>$G9</f>
        <v/>
      </c>
      <c r="I9" s="6" t="n">
        <v>8</v>
      </c>
      <c r="J9" s="30">
        <f>$H9+$I9</f>
        <v/>
      </c>
      <c r="K9" s="30">
        <f>$J9/Synthèse!$B$11</f>
        <v/>
      </c>
    </row>
    <row r="10">
      <c r="A10" s="22" t="inlineStr">
        <is>
          <t>Montoire-sur-le-Loir</t>
        </is>
      </c>
      <c r="B10" s="10" t="n">
        <v>37</v>
      </c>
      <c r="C10" s="10" t="n">
        <v>48</v>
      </c>
      <c r="D10" s="30" t="n">
        <v>0.33</v>
      </c>
      <c r="E10" s="10">
        <f>MAX($B10,$C10)</f>
        <v/>
      </c>
      <c r="F10" s="30">
        <f>($E10+$D10)*(1+Synthèse!$B$12)</f>
        <v/>
      </c>
      <c r="G10" s="30">
        <f>$F10/4.3333</f>
        <v/>
      </c>
      <c r="H10" s="30">
        <f>$G10</f>
        <v/>
      </c>
      <c r="I10" s="6" t="n">
        <v>8</v>
      </c>
      <c r="J10" s="30">
        <f>$H10+$I10</f>
        <v/>
      </c>
      <c r="K10" s="30">
        <f>$J10/Synthèse!$B$11</f>
        <v/>
      </c>
    </row>
    <row r="11">
      <c r="A11" s="22" t="inlineStr">
        <is>
          <t>Vendôme</t>
        </is>
      </c>
      <c r="B11" s="10" t="n">
        <v>38</v>
      </c>
      <c r="C11" s="10" t="n">
        <v>34</v>
      </c>
      <c r="D11" s="30" t="n">
        <v>0.67</v>
      </c>
      <c r="E11" s="10">
        <f>MAX($B11,$C11)</f>
        <v/>
      </c>
      <c r="F11" s="30">
        <f>($E11+$D11)*(1+Synthèse!$B$12)</f>
        <v/>
      </c>
      <c r="G11" s="30">
        <f>$F11/4.3333</f>
        <v/>
      </c>
      <c r="H11" s="30">
        <f>$G11</f>
        <v/>
      </c>
      <c r="I11" s="6" t="n">
        <v>9</v>
      </c>
      <c r="J11" s="30">
        <f>$H11+$I11</f>
        <v/>
      </c>
      <c r="K11" s="30">
        <f>$J11/Synthèse!$B$11</f>
        <v/>
      </c>
    </row>
    <row r="12">
      <c r="A12" s="22" t="inlineStr">
        <is>
          <t>Romorantin-Lanthenay</t>
        </is>
      </c>
      <c r="B12" s="10" t="n">
        <v>44</v>
      </c>
      <c r="C12" s="10" t="n">
        <v>31</v>
      </c>
      <c r="D12" s="30" t="n">
        <v>0.33</v>
      </c>
      <c r="E12" s="10">
        <f>MAX($B12,$C12)</f>
        <v/>
      </c>
      <c r="F12" s="30">
        <f>($E12+$D12)*(1+Synthèse!$B$12)</f>
        <v/>
      </c>
      <c r="G12" s="30">
        <f>$F12/4.3333</f>
        <v/>
      </c>
      <c r="H12" s="30">
        <f>$G12</f>
        <v/>
      </c>
      <c r="I12" s="6" t="n">
        <v>6</v>
      </c>
      <c r="J12" s="30">
        <f>$H12+$I12</f>
        <v/>
      </c>
      <c r="K12" s="30">
        <f>$J12/Synthèse!$B$11</f>
        <v/>
      </c>
    </row>
    <row r="13">
      <c r="A13" s="22" t="inlineStr">
        <is>
          <t>Valencisse</t>
        </is>
      </c>
      <c r="B13" s="10" t="n">
        <v>43</v>
      </c>
      <c r="C13" s="10" t="n">
        <v>42</v>
      </c>
      <c r="D13" s="30" t="n">
        <v>0.67</v>
      </c>
      <c r="E13" s="10">
        <f>MAX($B13,$C13)</f>
        <v/>
      </c>
      <c r="F13" s="30">
        <f>($E13+$D13)*(1+Synthèse!$B$12)</f>
        <v/>
      </c>
      <c r="G13" s="30">
        <f>$F13/4.3333</f>
        <v/>
      </c>
      <c r="H13" s="30">
        <f>$G13</f>
        <v/>
      </c>
      <c r="I13" s="6" t="n">
        <v>6</v>
      </c>
      <c r="J13" s="30">
        <f>$H13+$I13</f>
        <v/>
      </c>
      <c r="K13" s="30">
        <f>$J13/Synthèse!$B$11</f>
        <v/>
      </c>
    </row>
    <row r="14">
      <c r="A14" s="22" t="inlineStr">
        <is>
          <t>Vouzon</t>
        </is>
      </c>
      <c r="B14" s="10" t="n">
        <v>31</v>
      </c>
      <c r="C14" s="10" t="n">
        <v>33</v>
      </c>
      <c r="D14" s="30" t="n">
        <v>0.33</v>
      </c>
      <c r="E14" s="10">
        <f>MAX($B14,$C14)</f>
        <v/>
      </c>
      <c r="F14" s="30">
        <f>($E14+$D14)*(1+Synthèse!$B$12)</f>
        <v/>
      </c>
      <c r="G14" s="30">
        <f>$F14/4.3333</f>
        <v/>
      </c>
      <c r="H14" s="30">
        <f>$G14</f>
        <v/>
      </c>
      <c r="I14" s="6" t="n">
        <v>7</v>
      </c>
      <c r="J14" s="30">
        <f>$H14+$I14</f>
        <v/>
      </c>
      <c r="K14" s="30">
        <f>$J14/Synthèse!$B$11</f>
        <v/>
      </c>
    </row>
    <row r="15">
      <c r="A15" s="22" t="inlineStr">
        <is>
          <t>Cormenon</t>
        </is>
      </c>
      <c r="B15" s="10" t="n">
        <v>18</v>
      </c>
      <c r="C15" s="10" t="n">
        <v>19</v>
      </c>
      <c r="D15" s="30" t="n">
        <v>0.33</v>
      </c>
      <c r="E15" s="10">
        <f>MAX($B15,$C15)</f>
        <v/>
      </c>
      <c r="F15" s="30">
        <f>($E15+$D15)*(1+Synthèse!$B$12)</f>
        <v/>
      </c>
      <c r="G15" s="30">
        <f>$F15/4.3333</f>
        <v/>
      </c>
      <c r="H15" s="30">
        <f>$G15</f>
        <v/>
      </c>
      <c r="I15" s="6" t="n">
        <v>7</v>
      </c>
      <c r="J15" s="30">
        <f>$H15+$I15</f>
        <v/>
      </c>
      <c r="K15" s="30">
        <f>$J15/Synthèse!$B$11</f>
        <v/>
      </c>
    </row>
    <row r="16">
      <c r="A16" s="22" t="inlineStr">
        <is>
          <t>La Ferté-Imbault</t>
        </is>
      </c>
      <c r="B16" s="10" t="n">
        <v>17</v>
      </c>
      <c r="C16" s="10" t="n">
        <v>13</v>
      </c>
      <c r="D16" s="30" t="n">
        <v>0.67</v>
      </c>
      <c r="E16" s="10">
        <f>MAX($B16,$C16)</f>
        <v/>
      </c>
      <c r="F16" s="30">
        <f>($E16+$D16)*(1+Synthèse!$B$12)</f>
        <v/>
      </c>
      <c r="G16" s="30">
        <f>$F16/4.3333</f>
        <v/>
      </c>
      <c r="H16" s="30">
        <f>$G16</f>
        <v/>
      </c>
      <c r="I16" s="6" t="n">
        <v>4</v>
      </c>
      <c r="J16" s="30">
        <f>$H16+$I16</f>
        <v/>
      </c>
      <c r="K16" s="30">
        <f>$J16/Synthèse!$B$11</f>
        <v/>
      </c>
    </row>
    <row r="17">
      <c r="A17" s="33" t="inlineStr">
        <is>
          <t>TOTAL DÉPARTEMENT 41</t>
        </is>
      </c>
      <c r="B17" s="33">
        <f>SUM(B5:B16)</f>
        <v/>
      </c>
      <c r="C17" s="33">
        <f>SUM(C5:C16)</f>
        <v/>
      </c>
      <c r="D17" s="32">
        <f>SUM(D5:D16)</f>
        <v/>
      </c>
      <c r="E17" s="33">
        <f>SUM(E5:E16)</f>
        <v/>
      </c>
      <c r="F17" s="32">
        <f>SUM(F5:F16)</f>
        <v/>
      </c>
      <c r="G17" s="32">
        <f>SUM(G5:G16)</f>
        <v/>
      </c>
      <c r="H17" s="32">
        <f>SUM(H5:H16)</f>
        <v/>
      </c>
      <c r="I17" s="33">
        <f>SUM(I5:I16)</f>
        <v/>
      </c>
      <c r="J17" s="32">
        <f>SUM(J5:J16)</f>
        <v/>
      </c>
      <c r="K17" s="32">
        <f>SUM(K5:K16)</f>
        <v/>
      </c>
    </row>
    <row r="18"/>
    <row r="19">
      <c r="A19" s="2" t="inlineStr">
        <is>
          <t>Le fichier source ne dimensionne que sur mars. Or sur le 41, octobre est le mois haut (705 interventions contre 656) : retenir le mois le plus chargé secteur par secteur ajoute environ 7 % au besoin.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5" customWidth="1" min="4" max="4"/>
    <col width="14" customWidth="1" min="5" max="5"/>
    <col width="13" customWidth="1" min="6" max="6"/>
    <col width="12" customWidth="1" min="7" max="7"/>
    <col width="40" customWidth="1" min="8" max="8"/>
  </cols>
  <sheetData>
    <row r="1">
      <c r="A1" s="1" t="inlineStr">
        <is>
          <t>MOTEUR DE DISPONIBILITÉ — RÉSERVATION SAV ET BASCULE PROD</t>
        </is>
      </c>
    </row>
    <row r="2">
      <c r="A2" s="2" t="inlineStr">
        <is>
          <t>Le mécanisme qui libère de la disponibilité sans embaucher : on réserve large pour le SAV, et tout créneau non vendu redevient de la PROD la veille au soir.</t>
        </is>
      </c>
    </row>
    <row r="3"/>
    <row r="4">
      <c r="A4" s="3" t="inlineStr">
        <is>
          <t>RÈGLES D'EXPLOITATION</t>
        </is>
      </c>
    </row>
    <row r="5" ht="24" customHeight="1">
      <c r="A5" s="4" t="inlineStr">
        <is>
          <t>N°</t>
        </is>
      </c>
      <c r="B5" s="4" t="inlineStr">
        <is>
          <t>Moment</t>
        </is>
      </c>
      <c r="C5" s="4" t="inlineStr">
        <is>
          <t>Règle</t>
        </is>
      </c>
      <c r="D5" s="4" t="inlineStr">
        <is>
          <t>Effet</t>
        </is>
      </c>
    </row>
    <row r="6" ht="30" customHeight="1">
      <c r="A6" s="21" t="inlineStr">
        <is>
          <t>R1</t>
        </is>
      </c>
      <c r="B6" s="7" t="inlineStr">
        <is>
          <t>Permanent</t>
        </is>
      </c>
      <c r="C6" s="22" t="inlineStr">
        <is>
          <t>La tournée est figée : technicien × jour × secteur ne change jamais.</t>
        </is>
      </c>
      <c r="D6" s="8" t="inlineStr">
        <is>
          <t>Distances maîtrisées, techniciens sur des secteurs qu'ils connaissent.</t>
        </is>
      </c>
    </row>
    <row r="7" ht="30" customHeight="1">
      <c r="A7" s="31" t="inlineStr">
        <is>
          <t>R2</t>
        </is>
      </c>
      <c r="B7" s="34" t="inlineStr">
        <is>
          <t>Permanent</t>
        </is>
      </c>
      <c r="C7" s="35" t="inlineStr">
        <is>
          <t>Chaque secteur est visité 3 fois par semaine, rythme Lundi-Mercredi-Vendredi ou Mardi-Jeudi-Samedi.</t>
        </is>
      </c>
      <c r="D7" s="17" t="inlineStr">
        <is>
          <t>Quel que soit le jour d'appel, il existe un passage à J+1 ou J+2.</t>
        </is>
      </c>
    </row>
    <row r="8" ht="30" customHeight="1">
      <c r="A8" s="21" t="inlineStr">
        <is>
          <t>R3</t>
        </is>
      </c>
      <c r="B8" s="7" t="inlineStr">
        <is>
          <t>Permanent</t>
        </is>
      </c>
      <c r="C8" s="22" t="inlineStr">
        <is>
          <t>Sur chaque demi-journée, un nombre fixe de créneaux est réservé au SAV. Le reste est ouvert à la PROD.</t>
        </is>
      </c>
      <c r="D8" s="8" t="inlineStr">
        <is>
          <t>L'occupation ne dépasse jamais 75 % : le quart restant est la disponibilité.</t>
        </is>
      </c>
    </row>
    <row r="9" ht="30" customHeight="1">
      <c r="A9" s="21" t="inlineStr">
        <is>
          <t>R4</t>
        </is>
      </c>
      <c r="B9" s="7" t="inlineStr">
        <is>
          <t>J-7 à J-5</t>
        </is>
      </c>
      <c r="C9" s="22" t="inlineStr">
        <is>
          <t>La PROD se pose uniquement sur les créneaux non réservés au SAV, dans le carnet J+5 à J+7.</t>
        </is>
      </c>
      <c r="D9" s="8" t="inlineStr">
        <is>
          <t>Le client PROD obtient bien un RDV à J+5/J+6/J+7.</t>
        </is>
      </c>
    </row>
    <row r="10" ht="30" customHeight="1">
      <c r="A10" s="21" t="inlineStr">
        <is>
          <t>R5</t>
        </is>
      </c>
      <c r="B10" s="7" t="inlineStr">
        <is>
          <t>J-2, 18 h</t>
        </is>
      </c>
      <c r="C10" s="22" t="inlineStr">
        <is>
          <t>Ouverture à la prise de RDV SAV des créneaux réservés du jour J.</t>
        </is>
      </c>
      <c r="D10" s="8" t="inlineStr">
        <is>
          <t>Le client SAV qui appelle voit de la dispo à J+1 et J+2.</t>
        </is>
      </c>
    </row>
    <row r="11" ht="30" customHeight="1">
      <c r="A11" s="31" t="inlineStr">
        <is>
          <t>R6</t>
        </is>
      </c>
      <c r="B11" s="34" t="inlineStr">
        <is>
          <t>J-1, 18 h</t>
        </is>
      </c>
      <c r="C11" s="35" t="inlineStr">
        <is>
          <t>BASCULE : tout créneau SAV encore libre pour le lendemain est réaffecté à une intervention PROD du même secteur.</t>
        </is>
      </c>
      <c r="D11" s="17" t="inlineStr">
        <is>
          <t>Aucun créneau perdu. C'est ce qui rend la réservation SAV quasi gratuite.</t>
        </is>
      </c>
    </row>
    <row r="12" ht="30" customHeight="1">
      <c r="A12" s="21" t="inlineStr">
        <is>
          <t>R7</t>
        </is>
      </c>
      <c r="B12" s="7" t="inlineStr">
        <is>
          <t>J-1, 18 h</t>
        </is>
      </c>
      <c r="C12" s="22" t="inlineStr">
        <is>
          <t>La bascule suppose au moins 2 interventions PROD en attente dans le secteur.</t>
        </is>
      </c>
      <c r="D12" s="8" t="inlineStr">
        <is>
          <t>Sur Cormenon et La Ferté-Imbault, maintenir un stock PROD tampon.</t>
        </is>
      </c>
    </row>
    <row r="13" ht="30" customHeight="1">
      <c r="A13" s="21" t="inlineStr">
        <is>
          <t>R8</t>
        </is>
      </c>
      <c r="B13" s="7" t="inlineStr">
        <is>
          <t>Jour J</t>
        </is>
      </c>
      <c r="C13" s="22" t="inlineStr">
        <is>
          <t>Un SAV urgent arrivé après la bascule prend la place d'une PROD du jour, qui repart en J+5.</t>
        </is>
      </c>
      <c r="D13" s="8" t="inlineStr">
        <is>
          <t>La PROD absorbe l'aléa, jamais le SAV — c'est elle qui a le délai le plus long.</t>
        </is>
      </c>
    </row>
    <row r="14" ht="30" customHeight="1">
      <c r="A14" s="21" t="inlineStr">
        <is>
          <t>R9</t>
        </is>
      </c>
      <c r="B14" s="7" t="inlineStr">
        <is>
          <t>Hebdo</t>
        </is>
      </c>
      <c r="C14" s="22" t="inlineStr">
        <is>
          <t>Si l'occupation SAV d'un secteur dépasse 75 % quatre semaines de suite, augmenter sa réservation.</t>
        </is>
      </c>
      <c r="D14" s="8" t="inlineStr">
        <is>
          <t>Le curseur de réservation suit la demande réelle.</t>
        </is>
      </c>
    </row>
    <row r="15" ht="30" customHeight="1">
      <c r="A15" s="21" t="inlineStr">
        <is>
          <t>R10</t>
        </is>
      </c>
      <c r="B15" s="7" t="inlineStr">
        <is>
          <t>Hebdo</t>
        </is>
      </c>
      <c r="C15" s="22" t="inlineStr">
        <is>
          <t>Le renfort flottant (T11) est affecté le vendredi pour la semaine suivante, au secteur au carnet le plus tendu.</t>
        </is>
      </c>
      <c r="D15" s="8" t="inlineStr">
        <is>
          <t>La réserve va là où elle sert, pas là où elle dort.</t>
        </is>
      </c>
    </row>
    <row r="16"/>
    <row r="17">
      <c r="A17" s="3" t="inlineStr">
        <is>
          <t>TABLEAU DE BORD QUOTIDIEN — À REMPLIR CHAQUE SOIR AVANT LA BASCULE</t>
        </is>
      </c>
    </row>
    <row r="18">
      <c r="A18" s="2" t="inlineStr">
        <is>
          <t>Colonne D (jaune) : nombre de RDV SAV réellement pris pour le lendemain. Le reste se calcule.</t>
        </is>
      </c>
    </row>
    <row r="19" ht="44" customHeight="1">
      <c r="A19" s="4" t="inlineStr">
        <is>
          <t>Secteur visité demain</t>
        </is>
      </c>
      <c r="B19" s="4" t="inlineStr">
        <is>
          <t>Créneaux du jour</t>
        </is>
      </c>
      <c r="C19" s="4" t="inlineStr">
        <is>
          <t>dont réservés SAV</t>
        </is>
      </c>
      <c r="D19" s="4" t="inlineStr">
        <is>
          <t>RDV SAV pris (à saisir)</t>
        </is>
      </c>
      <c r="E19" s="4" t="inlineStr">
        <is>
          <t>Créneaux SAV libres</t>
        </is>
      </c>
      <c r="F19" s="4" t="inlineStr">
        <is>
          <t>PROD à injecter</t>
        </is>
      </c>
      <c r="G19" s="4" t="inlineStr">
        <is>
          <t>Occupation SAV</t>
        </is>
      </c>
      <c r="H19" s="4" t="inlineStr">
        <is>
          <t>Alerte</t>
        </is>
      </c>
    </row>
    <row r="20">
      <c r="A20" s="22" t="inlineStr">
        <is>
          <t>Blois</t>
        </is>
      </c>
      <c r="B20" s="7" t="n">
        <v>8</v>
      </c>
      <c r="C20" s="7" t="n">
        <v>4</v>
      </c>
      <c r="D20" s="36" t="n">
        <v>0</v>
      </c>
      <c r="E20" s="7">
        <f>MAX(0,$C20-$D20)</f>
        <v/>
      </c>
      <c r="F20" s="7">
        <f>$E20</f>
        <v/>
      </c>
      <c r="G20" s="37">
        <f>IFERROR($D20/$C20,0)</f>
        <v/>
      </c>
      <c r="H20" s="8">
        <f>IF($D20&gt;$C20,"Débordement SAV : basculer une PROD du jour",IF($D20/$C20&gt;0.75,"Occupation SAV &gt; 75 % : augmenter la réservation","Injecter "&amp;TEXT($F20,"0")&amp;" PROD du carnet J+5/J+7"))</f>
        <v/>
      </c>
    </row>
    <row r="21">
      <c r="A21" s="22" t="inlineStr">
        <is>
          <t>Pontlevoy</t>
        </is>
      </c>
      <c r="B21" s="7" t="n">
        <v>8</v>
      </c>
      <c r="C21" s="7" t="n">
        <v>4</v>
      </c>
      <c r="D21" s="36" t="n">
        <v>0</v>
      </c>
      <c r="E21" s="7">
        <f>MAX(0,$C21-$D21)</f>
        <v/>
      </c>
      <c r="F21" s="7">
        <f>$E21</f>
        <v/>
      </c>
      <c r="G21" s="37">
        <f>IFERROR($D21/$C21,0)</f>
        <v/>
      </c>
      <c r="H21" s="8">
        <f>IF($D21&gt;$C21,"Débordement SAV : basculer une PROD du jour",IF($D21/$C21&gt;0.75,"Occupation SAV &gt; 75 % : augmenter la réservation","Injecter "&amp;TEXT($F21,"0")&amp;" PROD du carnet J+5/J+7"))</f>
        <v/>
      </c>
    </row>
    <row r="22">
      <c r="A22" s="22" t="inlineStr">
        <is>
          <t>Vendôme</t>
        </is>
      </c>
      <c r="B22" s="7" t="n">
        <v>8</v>
      </c>
      <c r="C22" s="7" t="n">
        <v>4</v>
      </c>
      <c r="D22" s="36" t="n">
        <v>0</v>
      </c>
      <c r="E22" s="7">
        <f>MAX(0,$C22-$D22)</f>
        <v/>
      </c>
      <c r="F22" s="7">
        <f>$E22</f>
        <v/>
      </c>
      <c r="G22" s="37">
        <f>IFERROR($D22/$C22,0)</f>
        <v/>
      </c>
      <c r="H22" s="8">
        <f>IF($D22&gt;$C22,"Débordement SAV : basculer une PROD du jour",IF($D22/$C22&gt;0.75,"Occupation SAV &gt; 75 % : augmenter la réservation","Injecter "&amp;TEXT($F22,"0")&amp;" PROD du carnet J+5/J+7"))</f>
        <v/>
      </c>
    </row>
    <row r="23">
      <c r="A23" s="22" t="inlineStr">
        <is>
          <t>Épiais</t>
        </is>
      </c>
      <c r="B23" s="7" t="n">
        <v>8</v>
      </c>
      <c r="C23" s="7" t="n">
        <v>4</v>
      </c>
      <c r="D23" s="36" t="n">
        <v>0</v>
      </c>
      <c r="E23" s="7">
        <f>MAX(0,$C23-$D23)</f>
        <v/>
      </c>
      <c r="F23" s="7">
        <f>$E23</f>
        <v/>
      </c>
      <c r="G23" s="37">
        <f>IFERROR($D23/$C23,0)</f>
        <v/>
      </c>
      <c r="H23" s="8">
        <f>IF($D23&gt;$C23,"Débordement SAV : basculer une PROD du jour",IF($D23/$C23&gt;0.75,"Occupation SAV &gt; 75 % : augmenter la réservation","Injecter "&amp;TEXT($F23,"0")&amp;" PROD du carnet J+5/J+7"))</f>
        <v/>
      </c>
    </row>
    <row r="24">
      <c r="A24" s="22" t="inlineStr">
        <is>
          <t>Mur-de-Sologne</t>
        </is>
      </c>
      <c r="B24" s="7" t="n">
        <v>8</v>
      </c>
      <c r="C24" s="7" t="n">
        <v>4</v>
      </c>
      <c r="D24" s="36" t="n">
        <v>0</v>
      </c>
      <c r="E24" s="7">
        <f>MAX(0,$C24-$D24)</f>
        <v/>
      </c>
      <c r="F24" s="7">
        <f>$E24</f>
        <v/>
      </c>
      <c r="G24" s="37">
        <f>IFERROR($D24/$C24,0)</f>
        <v/>
      </c>
      <c r="H24" s="8">
        <f>IF($D24&gt;$C24,"Débordement SAV : basculer une PROD du jour",IF($D24/$C24&gt;0.75,"Occupation SAV &gt; 75 % : augmenter la réservation","Injecter "&amp;TEXT($F24,"0")&amp;" PROD du carnet J+5/J+7"))</f>
        <v/>
      </c>
    </row>
    <row r="25">
      <c r="A25" s="22" t="inlineStr">
        <is>
          <t>Crouy-sur-Cosson</t>
        </is>
      </c>
      <c r="B25" s="7" t="n">
        <v>8</v>
      </c>
      <c r="C25" s="7" t="n">
        <v>4</v>
      </c>
      <c r="D25" s="36" t="n">
        <v>0</v>
      </c>
      <c r="E25" s="7">
        <f>MAX(0,$C25-$D25)</f>
        <v/>
      </c>
      <c r="F25" s="7">
        <f>$E25</f>
        <v/>
      </c>
      <c r="G25" s="37">
        <f>IFERROR($D25/$C25,0)</f>
        <v/>
      </c>
      <c r="H25" s="8">
        <f>IF($D25&gt;$C25,"Débordement SAV : basculer une PROD du jour",IF($D25/$C25&gt;0.75,"Occupation SAV &gt; 75 % : augmenter la réservation","Injecter "&amp;TEXT($F25,"0")&amp;" PROD du carnet J+5/J+7"))</f>
        <v/>
      </c>
    </row>
    <row r="26">
      <c r="A26" s="22" t="inlineStr">
        <is>
          <t>Valencisse</t>
        </is>
      </c>
      <c r="B26" s="7" t="n">
        <v>8</v>
      </c>
      <c r="C26" s="7" t="n">
        <v>3</v>
      </c>
      <c r="D26" s="36" t="n">
        <v>0</v>
      </c>
      <c r="E26" s="7">
        <f>MAX(0,$C26-$D26)</f>
        <v/>
      </c>
      <c r="F26" s="7">
        <f>$E26</f>
        <v/>
      </c>
      <c r="G26" s="37">
        <f>IFERROR($D26/$C26,0)</f>
        <v/>
      </c>
      <c r="H26" s="8">
        <f>IF($D26&gt;$C26,"Débordement SAV : basculer une PROD du jour",IF($D26/$C26&gt;0.75,"Occupation SAV &gt; 75 % : augmenter la réservation","Injecter "&amp;TEXT($F26,"0")&amp;" PROD du carnet J+5/J+7"))</f>
        <v/>
      </c>
    </row>
    <row r="27">
      <c r="A27" s="22" t="inlineStr">
        <is>
          <t>Montoire-sur-le-Loir</t>
        </is>
      </c>
      <c r="B27" s="7" t="n">
        <v>8</v>
      </c>
      <c r="C27" s="7" t="n">
        <v>4</v>
      </c>
      <c r="D27" s="36" t="n">
        <v>0</v>
      </c>
      <c r="E27" s="7">
        <f>MAX(0,$C27-$D27)</f>
        <v/>
      </c>
      <c r="F27" s="7">
        <f>$E27</f>
        <v/>
      </c>
      <c r="G27" s="37">
        <f>IFERROR($D27/$C27,0)</f>
        <v/>
      </c>
      <c r="H27" s="8">
        <f>IF($D27&gt;$C27,"Débordement SAV : basculer une PROD du jour",IF($D27/$C27&gt;0.75,"Occupation SAV &gt; 75 % : augmenter la réservation","Injecter "&amp;TEXT($F27,"0")&amp;" PROD du carnet J+5/J+7"))</f>
        <v/>
      </c>
    </row>
    <row r="28">
      <c r="A28" s="22" t="inlineStr">
        <is>
          <t>Cormenon</t>
        </is>
      </c>
      <c r="B28" s="7" t="n">
        <v>8</v>
      </c>
      <c r="C28" s="7" t="n">
        <v>3</v>
      </c>
      <c r="D28" s="36" t="n">
        <v>0</v>
      </c>
      <c r="E28" s="7">
        <f>MAX(0,$C28-$D28)</f>
        <v/>
      </c>
      <c r="F28" s="7">
        <f>$E28</f>
        <v/>
      </c>
      <c r="G28" s="37">
        <f>IFERROR($D28/$C28,0)</f>
        <v/>
      </c>
      <c r="H28" s="8">
        <f>IF($D28&gt;$C28,"Débordement SAV : basculer une PROD du jour",IF($D28/$C28&gt;0.75,"Occupation SAV &gt; 75 % : augmenter la réservation","Injecter "&amp;TEXT($F28,"0")&amp;" PROD du carnet J+5/J+7"))</f>
        <v/>
      </c>
    </row>
    <row r="29">
      <c r="A29" s="22" t="inlineStr">
        <is>
          <t>Romorantin-Lanthenay</t>
        </is>
      </c>
      <c r="B29" s="7" t="n">
        <v>8</v>
      </c>
      <c r="C29" s="7" t="n">
        <v>3</v>
      </c>
      <c r="D29" s="36" t="n">
        <v>0</v>
      </c>
      <c r="E29" s="7">
        <f>MAX(0,$C29-$D29)</f>
        <v/>
      </c>
      <c r="F29" s="7">
        <f>$E29</f>
        <v/>
      </c>
      <c r="G29" s="37">
        <f>IFERROR($D29/$C29,0)</f>
        <v/>
      </c>
      <c r="H29" s="8">
        <f>IF($D29&gt;$C29,"Débordement SAV : basculer une PROD du jour",IF($D29/$C29&gt;0.75,"Occupation SAV &gt; 75 % : augmenter la réservation","Injecter "&amp;TEXT($F29,"0")&amp;" PROD du carnet J+5/J+7"))</f>
        <v/>
      </c>
    </row>
    <row r="30">
      <c r="A30" s="22" t="inlineStr">
        <is>
          <t>La Ferté-Imbault</t>
        </is>
      </c>
      <c r="B30" s="7" t="n">
        <v>8</v>
      </c>
      <c r="C30" s="7" t="n">
        <v>2</v>
      </c>
      <c r="D30" s="36" t="n">
        <v>0</v>
      </c>
      <c r="E30" s="7">
        <f>MAX(0,$C30-$D30)</f>
        <v/>
      </c>
      <c r="F30" s="7">
        <f>$E30</f>
        <v/>
      </c>
      <c r="G30" s="37">
        <f>IFERROR($D30/$C30,0)</f>
        <v/>
      </c>
      <c r="H30" s="8">
        <f>IF($D30&gt;$C30,"Débordement SAV : basculer une PROD du jour",IF($D30/$C30&gt;0.75,"Occupation SAV &gt; 75 % : augmenter la réservation","Injecter "&amp;TEXT($F30,"0")&amp;" PROD du carnet J+5/J+7"))</f>
        <v/>
      </c>
    </row>
    <row r="31">
      <c r="A31" s="22" t="inlineStr">
        <is>
          <t>Vouzon</t>
        </is>
      </c>
      <c r="B31" s="7" t="n">
        <v>8</v>
      </c>
      <c r="C31" s="7" t="n">
        <v>3</v>
      </c>
      <c r="D31" s="36" t="n">
        <v>0</v>
      </c>
      <c r="E31" s="7">
        <f>MAX(0,$C31-$D31)</f>
        <v/>
      </c>
      <c r="F31" s="7">
        <f>$E31</f>
        <v/>
      </c>
      <c r="G31" s="37">
        <f>IFERROR($D31/$C31,0)</f>
        <v/>
      </c>
      <c r="H31" s="8">
        <f>IF($D31&gt;$C31,"Débordement SAV : basculer une PROD du jour",IF($D31/$C31&gt;0.75,"Occupation SAV &gt; 75 % : augmenter la réservation","Injecter "&amp;TEXT($F31,"0")&amp;" PROD du carnet J+5/J+7"))</f>
        <v/>
      </c>
    </row>
    <row r="32">
      <c r="A32" s="4" t="inlineStr">
        <is>
          <t>TOTAL JOUR</t>
        </is>
      </c>
      <c r="B32" s="4">
        <f>SUM(B20:B31)</f>
        <v/>
      </c>
      <c r="C32" s="4">
        <f>SUM(C20:C31)</f>
        <v/>
      </c>
      <c r="D32" s="4">
        <f>SUM(D20:D31)</f>
        <v/>
      </c>
      <c r="E32" s="4">
        <f>SUM(E20:E31)</f>
        <v/>
      </c>
      <c r="F32" s="4">
        <f>SUM(F20:F31)</f>
        <v/>
      </c>
      <c r="G32" s="38">
        <f>IFERROR($D32/$C32,0)</f>
        <v/>
      </c>
      <c r="H32" s="4" t="n"/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1" customWidth="1" min="3" max="3"/>
    <col width="4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COHÉRENCE GÉOGRAPHIQUE — DISTANCES ROUTIÈRES ESTIMÉES (km)</t>
        </is>
      </c>
    </row>
    <row r="2">
      <c r="A2" s="2" t="inlineStr">
        <is>
          <t>Estimation : vol d'oiseau × 1,25, majorée de 8 km entre les deux rives de la Loire (ponts de Blois, Chaumont, Muides, Beaugency). À recaler avec votre outil de tournées.</t>
        </is>
      </c>
    </row>
    <row r="3"/>
    <row r="4" ht="54" customHeight="1">
      <c r="A4" s="4" t="inlineStr"/>
      <c r="B4" s="39" t="inlineStr">
        <is>
          <t>Blois</t>
        </is>
      </c>
      <c r="C4" s="39" t="inlineStr">
        <is>
          <t>Valencisse</t>
        </is>
      </c>
      <c r="D4" s="39" t="inlineStr">
        <is>
          <t>Pontlevoy</t>
        </is>
      </c>
      <c r="E4" s="39" t="inlineStr">
        <is>
          <t>Vendôme</t>
        </is>
      </c>
      <c r="F4" s="39" t="inlineStr">
        <is>
          <t>Épiais</t>
        </is>
      </c>
      <c r="G4" s="39" t="inlineStr">
        <is>
          <t>Montoire-sur-le-Loir</t>
        </is>
      </c>
      <c r="H4" s="39" t="inlineStr">
        <is>
          <t>Cormenon</t>
        </is>
      </c>
      <c r="I4" s="39" t="inlineStr">
        <is>
          <t>Crouy-sur-Cosson</t>
        </is>
      </c>
      <c r="J4" s="39" t="inlineStr">
        <is>
          <t>Vouzon</t>
        </is>
      </c>
      <c r="K4" s="39" t="inlineStr">
        <is>
          <t>Mur-de-Sologne</t>
        </is>
      </c>
      <c r="L4" s="39" t="inlineStr">
        <is>
          <t>Romorantin-Lanthenay</t>
        </is>
      </c>
      <c r="M4" s="39" t="inlineStr">
        <is>
          <t>La Ferté-Imbault</t>
        </is>
      </c>
    </row>
    <row r="5">
      <c r="A5" s="40" t="inlineStr">
        <is>
          <t>Blois</t>
        </is>
      </c>
      <c r="B5" s="7" t="inlineStr">
        <is>
          <t>—</t>
        </is>
      </c>
      <c r="C5" s="34" t="n">
        <v>11</v>
      </c>
      <c r="D5" s="34" t="n">
        <v>28</v>
      </c>
      <c r="E5" s="41" t="n">
        <v>38</v>
      </c>
      <c r="F5" s="34" t="n">
        <v>24</v>
      </c>
      <c r="G5" s="41" t="n">
        <v>50</v>
      </c>
      <c r="H5" s="42" t="n">
        <v>61</v>
      </c>
      <c r="I5" s="34" t="n">
        <v>29</v>
      </c>
      <c r="J5" s="42" t="n">
        <v>65</v>
      </c>
      <c r="K5" s="41" t="n">
        <v>38</v>
      </c>
      <c r="L5" s="41" t="n">
        <v>50</v>
      </c>
      <c r="M5" s="42" t="n">
        <v>66</v>
      </c>
    </row>
    <row r="6">
      <c r="A6" s="40" t="inlineStr">
        <is>
          <t>Valencisse</t>
        </is>
      </c>
      <c r="B6" s="34" t="n">
        <v>11</v>
      </c>
      <c r="C6" s="7" t="inlineStr">
        <is>
          <t>—</t>
        </is>
      </c>
      <c r="D6" s="41" t="n">
        <v>35</v>
      </c>
      <c r="E6" s="41" t="n">
        <v>32</v>
      </c>
      <c r="F6" s="34" t="n">
        <v>28</v>
      </c>
      <c r="G6" s="41" t="n">
        <v>40</v>
      </c>
      <c r="H6" s="42" t="n">
        <v>55</v>
      </c>
      <c r="I6" s="41" t="n">
        <v>47</v>
      </c>
      <c r="J6" s="42" t="n">
        <v>84</v>
      </c>
      <c r="K6" s="42" t="n">
        <v>55</v>
      </c>
      <c r="L6" s="42" t="n">
        <v>67</v>
      </c>
      <c r="M6" s="42" t="n">
        <v>84</v>
      </c>
    </row>
    <row r="7">
      <c r="A7" s="40" t="inlineStr">
        <is>
          <t>Pontlevoy</t>
        </is>
      </c>
      <c r="B7" s="34" t="n">
        <v>28</v>
      </c>
      <c r="C7" s="41" t="n">
        <v>35</v>
      </c>
      <c r="D7" s="7" t="inlineStr">
        <is>
          <t>—</t>
        </is>
      </c>
      <c r="E7" s="42" t="n">
        <v>66</v>
      </c>
      <c r="F7" s="42" t="n">
        <v>60</v>
      </c>
      <c r="G7" s="42" t="n">
        <v>70</v>
      </c>
      <c r="H7" s="42" t="n">
        <v>90</v>
      </c>
      <c r="I7" s="42" t="n">
        <v>52</v>
      </c>
      <c r="J7" s="42" t="n">
        <v>81</v>
      </c>
      <c r="K7" s="41" t="n">
        <v>34</v>
      </c>
      <c r="L7" s="41" t="n">
        <v>46</v>
      </c>
      <c r="M7" s="42" t="n">
        <v>68</v>
      </c>
    </row>
    <row r="8">
      <c r="A8" s="40" t="inlineStr">
        <is>
          <t>Vendôme</t>
        </is>
      </c>
      <c r="B8" s="41" t="n">
        <v>38</v>
      </c>
      <c r="C8" s="41" t="n">
        <v>32</v>
      </c>
      <c r="D8" s="42" t="n">
        <v>66</v>
      </c>
      <c r="E8" s="7" t="inlineStr">
        <is>
          <t>—</t>
        </is>
      </c>
      <c r="F8" s="34" t="n">
        <v>29</v>
      </c>
      <c r="G8" s="34" t="n">
        <v>20</v>
      </c>
      <c r="H8" s="34" t="n">
        <v>24</v>
      </c>
      <c r="I8" s="42" t="n">
        <v>61</v>
      </c>
      <c r="J8" s="42" t="n">
        <v>99</v>
      </c>
      <c r="K8" s="42" t="n">
        <v>85</v>
      </c>
      <c r="L8" s="42" t="n">
        <v>96</v>
      </c>
      <c r="M8" s="42" t="n">
        <v>110</v>
      </c>
    </row>
    <row r="9">
      <c r="A9" s="40" t="inlineStr">
        <is>
          <t>Épiais</t>
        </is>
      </c>
      <c r="B9" s="34" t="n">
        <v>24</v>
      </c>
      <c r="C9" s="34" t="n">
        <v>28</v>
      </c>
      <c r="D9" s="42" t="n">
        <v>60</v>
      </c>
      <c r="E9" s="34" t="n">
        <v>29</v>
      </c>
      <c r="F9" s="7" t="inlineStr">
        <is>
          <t>—</t>
        </is>
      </c>
      <c r="G9" s="41" t="n">
        <v>48</v>
      </c>
      <c r="H9" s="41" t="n">
        <v>46</v>
      </c>
      <c r="I9" s="41" t="n">
        <v>33</v>
      </c>
      <c r="J9" s="42" t="n">
        <v>70</v>
      </c>
      <c r="K9" s="42" t="n">
        <v>65</v>
      </c>
      <c r="L9" s="42" t="n">
        <v>74</v>
      </c>
      <c r="M9" s="42" t="n">
        <v>84</v>
      </c>
    </row>
    <row r="10">
      <c r="A10" s="40" t="inlineStr">
        <is>
          <t>Montoire-sur-le-Loir</t>
        </is>
      </c>
      <c r="B10" s="41" t="n">
        <v>50</v>
      </c>
      <c r="C10" s="41" t="n">
        <v>40</v>
      </c>
      <c r="D10" s="42" t="n">
        <v>70</v>
      </c>
      <c r="E10" s="34" t="n">
        <v>20</v>
      </c>
      <c r="F10" s="41" t="n">
        <v>48</v>
      </c>
      <c r="G10" s="7" t="inlineStr">
        <is>
          <t>—</t>
        </is>
      </c>
      <c r="H10" s="34" t="n">
        <v>30</v>
      </c>
      <c r="I10" s="42" t="n">
        <v>78</v>
      </c>
      <c r="J10" s="42" t="n">
        <v>117</v>
      </c>
      <c r="K10" s="42" t="n">
        <v>95</v>
      </c>
      <c r="L10" s="42" t="n">
        <v>107</v>
      </c>
      <c r="M10" s="42" t="n">
        <v>123</v>
      </c>
    </row>
    <row r="11">
      <c r="A11" s="40" t="inlineStr">
        <is>
          <t>Cormenon</t>
        </is>
      </c>
      <c r="B11" s="42" t="n">
        <v>61</v>
      </c>
      <c r="C11" s="42" t="n">
        <v>55</v>
      </c>
      <c r="D11" s="42" t="n">
        <v>90</v>
      </c>
      <c r="E11" s="34" t="n">
        <v>24</v>
      </c>
      <c r="F11" s="41" t="n">
        <v>46</v>
      </c>
      <c r="G11" s="34" t="n">
        <v>30</v>
      </c>
      <c r="H11" s="7" t="inlineStr">
        <is>
          <t>—</t>
        </is>
      </c>
      <c r="I11" s="42" t="n">
        <v>78</v>
      </c>
      <c r="J11" s="42" t="n">
        <v>113</v>
      </c>
      <c r="K11" s="42" t="n">
        <v>107</v>
      </c>
      <c r="L11" s="42" t="n">
        <v>118</v>
      </c>
      <c r="M11" s="42" t="n">
        <v>129</v>
      </c>
    </row>
    <row r="12">
      <c r="A12" s="40" t="inlineStr">
        <is>
          <t>Crouy-sur-Cosson</t>
        </is>
      </c>
      <c r="B12" s="34" t="n">
        <v>29</v>
      </c>
      <c r="C12" s="41" t="n">
        <v>47</v>
      </c>
      <c r="D12" s="42" t="n">
        <v>52</v>
      </c>
      <c r="E12" s="42" t="n">
        <v>61</v>
      </c>
      <c r="F12" s="41" t="n">
        <v>33</v>
      </c>
      <c r="G12" s="42" t="n">
        <v>78</v>
      </c>
      <c r="H12" s="42" t="n">
        <v>78</v>
      </c>
      <c r="I12" s="7" t="inlineStr">
        <is>
          <t>—</t>
        </is>
      </c>
      <c r="J12" s="41" t="n">
        <v>38</v>
      </c>
      <c r="K12" s="41" t="n">
        <v>41</v>
      </c>
      <c r="L12" s="41" t="n">
        <v>47</v>
      </c>
      <c r="M12" s="42" t="n">
        <v>52</v>
      </c>
    </row>
    <row r="13">
      <c r="A13" s="40" t="inlineStr">
        <is>
          <t>Vouzon</t>
        </is>
      </c>
      <c r="B13" s="42" t="n">
        <v>65</v>
      </c>
      <c r="C13" s="42" t="n">
        <v>84</v>
      </c>
      <c r="D13" s="42" t="n">
        <v>81</v>
      </c>
      <c r="E13" s="42" t="n">
        <v>99</v>
      </c>
      <c r="F13" s="42" t="n">
        <v>70</v>
      </c>
      <c r="G13" s="42" t="n">
        <v>117</v>
      </c>
      <c r="H13" s="42" t="n">
        <v>113</v>
      </c>
      <c r="I13" s="41" t="n">
        <v>38</v>
      </c>
      <c r="J13" s="7" t="inlineStr">
        <is>
          <t>—</t>
        </is>
      </c>
      <c r="K13" s="42" t="n">
        <v>54</v>
      </c>
      <c r="L13" s="41" t="n">
        <v>49</v>
      </c>
      <c r="M13" s="41" t="n">
        <v>37</v>
      </c>
    </row>
    <row r="14">
      <c r="A14" s="40" t="inlineStr">
        <is>
          <t>Mur-de-Sologne</t>
        </is>
      </c>
      <c r="B14" s="41" t="n">
        <v>38</v>
      </c>
      <c r="C14" s="42" t="n">
        <v>55</v>
      </c>
      <c r="D14" s="41" t="n">
        <v>34</v>
      </c>
      <c r="E14" s="42" t="n">
        <v>85</v>
      </c>
      <c r="F14" s="42" t="n">
        <v>65</v>
      </c>
      <c r="G14" s="42" t="n">
        <v>95</v>
      </c>
      <c r="H14" s="42" t="n">
        <v>107</v>
      </c>
      <c r="I14" s="41" t="n">
        <v>41</v>
      </c>
      <c r="J14" s="42" t="n">
        <v>54</v>
      </c>
      <c r="K14" s="7" t="inlineStr">
        <is>
          <t>—</t>
        </is>
      </c>
      <c r="L14" s="34" t="n">
        <v>13</v>
      </c>
      <c r="M14" s="41" t="n">
        <v>34</v>
      </c>
    </row>
    <row r="15">
      <c r="A15" s="40" t="inlineStr">
        <is>
          <t>Romorantin-Lanthenay</t>
        </is>
      </c>
      <c r="B15" s="41" t="n">
        <v>50</v>
      </c>
      <c r="C15" s="42" t="n">
        <v>67</v>
      </c>
      <c r="D15" s="41" t="n">
        <v>46</v>
      </c>
      <c r="E15" s="42" t="n">
        <v>96</v>
      </c>
      <c r="F15" s="42" t="n">
        <v>74</v>
      </c>
      <c r="G15" s="42" t="n">
        <v>107</v>
      </c>
      <c r="H15" s="42" t="n">
        <v>118</v>
      </c>
      <c r="I15" s="41" t="n">
        <v>47</v>
      </c>
      <c r="J15" s="41" t="n">
        <v>49</v>
      </c>
      <c r="K15" s="34" t="n">
        <v>13</v>
      </c>
      <c r="L15" s="7" t="inlineStr">
        <is>
          <t>—</t>
        </is>
      </c>
      <c r="M15" s="34" t="n">
        <v>22</v>
      </c>
    </row>
    <row r="16">
      <c r="A16" s="40" t="inlineStr">
        <is>
          <t>La Ferté-Imbault</t>
        </is>
      </c>
      <c r="B16" s="42" t="n">
        <v>66</v>
      </c>
      <c r="C16" s="42" t="n">
        <v>84</v>
      </c>
      <c r="D16" s="42" t="n">
        <v>68</v>
      </c>
      <c r="E16" s="42" t="n">
        <v>110</v>
      </c>
      <c r="F16" s="42" t="n">
        <v>84</v>
      </c>
      <c r="G16" s="42" t="n">
        <v>123</v>
      </c>
      <c r="H16" s="42" t="n">
        <v>129</v>
      </c>
      <c r="I16" s="42" t="n">
        <v>52</v>
      </c>
      <c r="J16" s="41" t="n">
        <v>37</v>
      </c>
      <c r="K16" s="41" t="n">
        <v>34</v>
      </c>
      <c r="L16" s="34" t="n">
        <v>22</v>
      </c>
      <c r="M16" s="7" t="inlineStr">
        <is>
          <t>—</t>
        </is>
      </c>
    </row>
    <row r="17"/>
    <row r="18">
      <c r="A18" s="2" t="inlineStr">
        <is>
          <t>Vert ≤ 30 km : enchaînement de deux demi-journées acceptable   ·   Orange 31-50 km : à éviter dans la même journée   ·   Rouge &gt; 50 km : incohérent</t>
        </is>
      </c>
    </row>
    <row r="19"/>
    <row r="20">
      <c r="A20" s="3" t="inlineStr">
        <is>
          <t>ENCHAÎNEMENTS RETENUS DANS LA GRILLE</t>
        </is>
      </c>
    </row>
    <row r="21" ht="24" customHeight="1">
      <c r="A21" s="4" t="inlineStr">
        <is>
          <t>Matin</t>
        </is>
      </c>
      <c r="B21" s="4" t="inlineStr">
        <is>
          <t>Après-midi</t>
        </is>
      </c>
      <c r="C21" s="4" t="inlineStr">
        <is>
          <t>Distance</t>
        </is>
      </c>
      <c r="D21" s="4" t="inlineStr">
        <is>
          <t>Techniciens concernés</t>
        </is>
      </c>
    </row>
    <row r="22">
      <c r="A22" s="22" t="inlineStr">
        <is>
          <t>Montoire-sur-le-Loir</t>
        </is>
      </c>
      <c r="B22" s="22" t="inlineStr">
        <is>
          <t>Cormenon</t>
        </is>
      </c>
      <c r="C22" s="31" t="inlineStr">
        <is>
          <t>30 km</t>
        </is>
      </c>
      <c r="D22" s="22" t="inlineStr">
        <is>
          <t>T2 mardi, jeudi, samedi · T9 mardi</t>
        </is>
      </c>
    </row>
    <row r="23">
      <c r="A23" s="22" t="inlineStr">
        <is>
          <t>Vendôme</t>
        </is>
      </c>
      <c r="B23" s="22" t="inlineStr">
        <is>
          <t>Épiais</t>
        </is>
      </c>
      <c r="C23" s="31" t="inlineStr">
        <is>
          <t>29 km</t>
        </is>
      </c>
      <c r="D23" s="22" t="inlineStr">
        <is>
          <t>T2 lundi, mercredi, vendredi · T9 lundi, mercredi</t>
        </is>
      </c>
    </row>
    <row r="24">
      <c r="A24" s="22" t="inlineStr">
        <is>
          <t>Épiais</t>
        </is>
      </c>
      <c r="B24" s="22" t="inlineStr">
        <is>
          <t>Vendôme</t>
        </is>
      </c>
      <c r="C24" s="31" t="inlineStr">
        <is>
          <t>29 km</t>
        </is>
      </c>
      <c r="D24" s="22" t="inlineStr">
        <is>
          <t>T11 mardi</t>
        </is>
      </c>
    </row>
    <row r="25">
      <c r="A25" s="22" t="inlineStr">
        <is>
          <t>Romorantin-Lanthenay</t>
        </is>
      </c>
      <c r="B25" s="22" t="inlineStr">
        <is>
          <t>La Ferté-Imbault</t>
        </is>
      </c>
      <c r="C25" s="31" t="inlineStr">
        <is>
          <t>22 km</t>
        </is>
      </c>
      <c r="D25" s="22" t="inlineStr">
        <is>
          <t>T3 mardi, jeudi, samedi · T10 vendredi</t>
        </is>
      </c>
    </row>
    <row r="26">
      <c r="A26" s="22" t="inlineStr">
        <is>
          <t>Romorantin-Lanthenay</t>
        </is>
      </c>
      <c r="B26" s="22" t="inlineStr">
        <is>
          <t>Mur-de-Sologne</t>
        </is>
      </c>
      <c r="C26" s="31" t="inlineStr">
        <is>
          <t>13 km</t>
        </is>
      </c>
      <c r="D26" s="22" t="inlineStr">
        <is>
          <t>T10 lundi, mercredi</t>
        </is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9" customWidth="1" min="3" max="3"/>
    <col width="22" customWidth="1" min="4" max="4"/>
    <col width="46" customWidth="1" min="5" max="5"/>
    <col width="10" customWidth="1" min="6" max="6"/>
    <col width="10" customWidth="1" min="7" max="7"/>
  </cols>
  <sheetData>
    <row r="1">
      <c r="A1" s="1" t="inlineStr">
        <is>
          <t>AFFECTATION DES 11 TECHNICIENS</t>
        </is>
      </c>
    </row>
    <row r="2">
      <c r="A2" s="2" t="inlineStr">
        <is>
          <t>5 techniciens à 6 jours + 6 techniciens à 5 jours = 60 jours-technicien par semaine = 480 créneaux.</t>
        </is>
      </c>
    </row>
    <row r="3"/>
    <row r="4" ht="28" customHeight="1">
      <c r="A4" s="4" t="inlineStr">
        <is>
          <t>Tech.</t>
        </is>
      </c>
      <c r="B4" s="4" t="inlineStr">
        <is>
          <t>Rôle</t>
        </is>
      </c>
      <c r="C4" s="4" t="inlineStr">
        <is>
          <t>Jours /sem.</t>
        </is>
      </c>
      <c r="D4" s="4" t="inlineStr">
        <is>
          <t>Base conseillée</t>
        </is>
      </c>
      <c r="E4" s="4" t="inlineStr">
        <is>
          <t>Secteurs couverts</t>
        </is>
      </c>
      <c r="F4" s="4" t="inlineStr">
        <is>
          <t>SAV /sem.</t>
        </is>
      </c>
      <c r="G4" s="4" t="inlineStr">
        <is>
          <t>PROD /sem.</t>
        </is>
      </c>
    </row>
    <row r="5" ht="26" customHeight="1">
      <c r="A5" s="23" t="inlineStr">
        <is>
          <t>T1</t>
        </is>
      </c>
      <c r="B5" s="43" t="inlineStr">
        <is>
          <t>100 % SAV — Blois (L-Me-V) · Valencisse (Ma-J-S)</t>
        </is>
      </c>
      <c r="C5" s="41" t="n">
        <v>6</v>
      </c>
      <c r="D5" s="43" t="inlineStr">
        <is>
          <t>Blois</t>
        </is>
      </c>
      <c r="E5" s="43" t="inlineStr">
        <is>
          <t>Blois · Valencisse</t>
        </is>
      </c>
      <c r="F5" s="41" t="n">
        <v>33</v>
      </c>
      <c r="G5" s="41" t="n">
        <v>15</v>
      </c>
    </row>
    <row r="6" ht="26" customHeight="1">
      <c r="A6" s="23" t="inlineStr">
        <is>
          <t>T2</t>
        </is>
      </c>
      <c r="B6" s="43" t="inlineStr">
        <is>
          <t>Nord — Vendôme+Épiais (L-Me-V) · Montoire+Cormenon (Ma-J-S)</t>
        </is>
      </c>
      <c r="C6" s="41" t="n">
        <v>6</v>
      </c>
      <c r="D6" s="43" t="inlineStr">
        <is>
          <t>Vendôme</t>
        </is>
      </c>
      <c r="E6" s="43" t="inlineStr">
        <is>
          <t>Vendôme · Épiais · Montoire-sur-le-Loir · Cormenon</t>
        </is>
      </c>
      <c r="F6" s="41" t="n">
        <v>43</v>
      </c>
      <c r="G6" s="41" t="n">
        <v>5</v>
      </c>
    </row>
    <row r="7" ht="26" customHeight="1">
      <c r="A7" s="23" t="inlineStr">
        <is>
          <t>T3</t>
        </is>
      </c>
      <c r="B7" s="43" t="inlineStr">
        <is>
          <t>Sologne Sud — Mur (L-Me-V) · Romorantin+La Ferté (Ma-J-S)</t>
        </is>
      </c>
      <c r="C7" s="41" t="n">
        <v>6</v>
      </c>
      <c r="D7" s="43" t="inlineStr">
        <is>
          <t>Romorantin-Lanthenay</t>
        </is>
      </c>
      <c r="E7" s="43" t="inlineStr">
        <is>
          <t>Mur-de-Sologne · Romorantin-Lanthenay · La Ferté-Imbault</t>
        </is>
      </c>
      <c r="F7" s="41" t="n">
        <v>28</v>
      </c>
      <c r="G7" s="41" t="n">
        <v>20</v>
      </c>
    </row>
    <row r="8" ht="26" customHeight="1">
      <c r="A8" s="23" t="inlineStr">
        <is>
          <t>T4</t>
        </is>
      </c>
      <c r="B8" s="43" t="inlineStr">
        <is>
          <t>Sologne Est — Crouy (L-Me-V) · Vouzon (Ma-J-S)</t>
        </is>
      </c>
      <c r="C8" s="41" t="n">
        <v>6</v>
      </c>
      <c r="D8" s="43" t="inlineStr">
        <is>
          <t>Crouy-sur-Cosson ou Lamotte-Beuvron</t>
        </is>
      </c>
      <c r="E8" s="43" t="inlineStr">
        <is>
          <t>Crouy-sur-Cosson · Vouzon</t>
        </is>
      </c>
      <c r="F8" s="41" t="n">
        <v>20</v>
      </c>
      <c r="G8" s="41" t="n">
        <v>28</v>
      </c>
    </row>
    <row r="9" ht="26" customHeight="1">
      <c r="A9" s="23" t="inlineStr">
        <is>
          <t>T5</t>
        </is>
      </c>
      <c r="B9" s="43" t="inlineStr">
        <is>
          <t>Sud-Ouest — Pontlevoy (SAV L-Me-V · PROD Ma-J-S)</t>
        </is>
      </c>
      <c r="C9" s="41" t="n">
        <v>6</v>
      </c>
      <c r="D9" s="43" t="inlineStr">
        <is>
          <t>Pontlevoy ou Montrichard</t>
        </is>
      </c>
      <c r="E9" s="43" t="inlineStr">
        <is>
          <t>Pontlevoy</t>
        </is>
      </c>
      <c r="F9" s="41" t="n">
        <v>24</v>
      </c>
      <c r="G9" s="41" t="n">
        <v>24</v>
      </c>
    </row>
    <row r="10" ht="26" customHeight="1">
      <c r="A10" s="21" t="inlineStr">
        <is>
          <t>T6</t>
        </is>
      </c>
      <c r="B10" s="22" t="inlineStr">
        <is>
          <t>Blois — mixte SAV / PROD</t>
        </is>
      </c>
      <c r="C10" s="7" t="n">
        <v>5</v>
      </c>
      <c r="D10" s="22" t="inlineStr">
        <is>
          <t>Blois</t>
        </is>
      </c>
      <c r="E10" s="22" t="inlineStr">
        <is>
          <t>Blois</t>
        </is>
      </c>
      <c r="F10" s="7" t="n">
        <v>20</v>
      </c>
      <c r="G10" s="7" t="n">
        <v>20</v>
      </c>
    </row>
    <row r="11" ht="26" customHeight="1">
      <c r="A11" s="21" t="inlineStr">
        <is>
          <t>T7</t>
        </is>
      </c>
      <c r="B11" s="22" t="inlineStr">
        <is>
          <t>Blois — PROD</t>
        </is>
      </c>
      <c r="C11" s="7" t="n">
        <v>5</v>
      </c>
      <c r="D11" s="22" t="inlineStr">
        <is>
          <t>Blois</t>
        </is>
      </c>
      <c r="E11" s="22" t="inlineStr">
        <is>
          <t>Blois</t>
        </is>
      </c>
      <c r="F11" s="7" t="n">
        <v>0</v>
      </c>
      <c r="G11" s="7" t="n">
        <v>40</v>
      </c>
    </row>
    <row r="12" ht="26" customHeight="1">
      <c r="A12" s="21" t="inlineStr">
        <is>
          <t>T8</t>
        </is>
      </c>
      <c r="B12" s="22" t="inlineStr">
        <is>
          <t>Blois — PROD</t>
        </is>
      </c>
      <c r="C12" s="7" t="n">
        <v>5</v>
      </c>
      <c r="D12" s="22" t="inlineStr">
        <is>
          <t>Blois</t>
        </is>
      </c>
      <c r="E12" s="22" t="inlineStr">
        <is>
          <t>Blois</t>
        </is>
      </c>
      <c r="F12" s="7" t="n">
        <v>0</v>
      </c>
      <c r="G12" s="7" t="n">
        <v>40</v>
      </c>
    </row>
    <row r="13" ht="26" customHeight="1">
      <c r="A13" s="21" t="inlineStr">
        <is>
          <t>T9</t>
        </is>
      </c>
      <c r="B13" s="22" t="inlineStr">
        <is>
          <t>Nord — PROD Vendômois / Beauce</t>
        </is>
      </c>
      <c r="C13" s="7" t="n">
        <v>5</v>
      </c>
      <c r="D13" s="22" t="inlineStr">
        <is>
          <t>Vendôme</t>
        </is>
      </c>
      <c r="E13" s="22" t="inlineStr">
        <is>
          <t>Épiais · Montoire-sur-le-Loir · Vendôme · Cormenon</t>
        </is>
      </c>
      <c r="F13" s="7" t="n">
        <v>0</v>
      </c>
      <c r="G13" s="7" t="n">
        <v>40</v>
      </c>
    </row>
    <row r="14" ht="26" customHeight="1">
      <c r="A14" s="21" t="inlineStr">
        <is>
          <t>T10</t>
        </is>
      </c>
      <c r="B14" s="22" t="inlineStr">
        <is>
          <t>Sologne / Sud-Ouest — PROD</t>
        </is>
      </c>
      <c r="C14" s="7" t="n">
        <v>5</v>
      </c>
      <c r="D14" s="22" t="inlineStr">
        <is>
          <t>Romorantin-Lanthenay</t>
        </is>
      </c>
      <c r="E14" s="22" t="inlineStr">
        <is>
          <t>Pontlevoy · Romorantin-Lanthenay · Mur-de-Sologne · La Ferté-Imbault</t>
        </is>
      </c>
      <c r="F14" s="7" t="n">
        <v>0</v>
      </c>
      <c r="G14" s="7" t="n">
        <v>40</v>
      </c>
    </row>
    <row r="15" ht="26" customHeight="1">
      <c r="A15" s="21" t="inlineStr">
        <is>
          <t>T11</t>
        </is>
      </c>
      <c r="B15" s="22" t="inlineStr">
        <is>
          <t>Renfort flottant — réserve opérationnelle</t>
        </is>
      </c>
      <c r="C15" s="7" t="n">
        <v>5</v>
      </c>
      <c r="D15" s="22" t="inlineStr">
        <is>
          <t>Blois</t>
        </is>
      </c>
      <c r="E15" s="22" t="inlineStr">
        <is>
          <t>Blois · Montoire-sur-le-Loir · Crouy-sur-Cosson · Épiais · Vendôme</t>
        </is>
      </c>
      <c r="F15" s="7" t="n">
        <v>0</v>
      </c>
      <c r="G15" s="7" t="n">
        <v>40</v>
      </c>
    </row>
    <row r="16">
      <c r="A16" s="4" t="inlineStr">
        <is>
          <t>TOTAL</t>
        </is>
      </c>
      <c r="B16" s="4">
        <f>COUNTA(A5:A15)&amp;" techniciens"</f>
        <v/>
      </c>
      <c r="C16" s="4">
        <f>SUM(C5:C15)</f>
        <v/>
      </c>
      <c r="D16" s="4" t="n"/>
      <c r="E16" s="4" t="inlineStr">
        <is>
          <t>12 secteurs GRDV couverts</t>
        </is>
      </c>
      <c r="F16" s="4">
        <f>SUM(F5:F15)</f>
        <v/>
      </c>
      <c r="G16" s="4">
        <f>SUM(G5:G15)</f>
        <v/>
      </c>
    </row>
    <row r="17"/>
    <row r="18">
      <c r="A18" s="2" t="inlineStr">
        <is>
          <t>Fond orange = les 5 techniciens à 6 jours. Ils portent les secteurs du rythme Mardi-Jeudi-Samedi : sans leur samedi, aucun créneau SAV n'existe à J+1/J+2 pour un appel du jeudi ou du vendredi.</t>
        </is>
      </c>
    </row>
    <row r="19">
      <c r="A19" s="2" t="inlineStr">
        <is>
          <t>T1 est le technicien 100 % SAV déjà en poste, maintenu sur Blois et Valencisse comme demandé (11 km entre les deux hubs).</t>
        </is>
      </c>
    </row>
    <row r="20">
      <c r="A20" s="2" t="inlineStr">
        <is>
          <t>T11 est le renfort flottant : réserve pour les absences, les urgences et les pointes. Il est réaffecté chaque vendredi pour la semaine suivante.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2026-07-29T06:45:36Z</dcterms:created>
  <dcterms:modified xsi:type="dcterms:W3CDTF">2026-07-29T06:45:36Z</dcterms:modified>
</cp:coreProperties>
</file>